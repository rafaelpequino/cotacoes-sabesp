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fae\OneDrive\Documentos\Sabesp\"/>
    </mc:Choice>
  </mc:AlternateContent>
  <xr:revisionPtr revIDLastSave="0" documentId="13_ncr:1_{2334F93F-F801-489E-8219-CD847B63F25D}" xr6:coauthVersionLast="47" xr6:coauthVersionMax="47" xr10:uidLastSave="{00000000-0000-0000-0000-000000000000}"/>
  <bookViews>
    <workbookView xWindow="28680" yWindow="-120" windowWidth="24240" windowHeight="13020" tabRatio="700" xr2:uid="{C3CBFEFD-935F-4E70-A1E4-5D4E0E7BA981}"/>
  </bookViews>
  <sheets>
    <sheet name="1-Valor_Unitário_Economia" sheetId="9" r:id="rId1"/>
    <sheet name="2-Proporção" sheetId="8" r:id="rId2"/>
    <sheet name="3-Cenários" sheetId="11" r:id="rId3"/>
    <sheet name="4-Premissas-MO" sheetId="10" r:id="rId4"/>
    <sheet name="5-Parâmetros" sheetId="13" r:id="rId5"/>
    <sheet name="6-Custo_Oportunidade" sheetId="16" r:id="rId6"/>
    <sheet name="7-Cálculo_Crashing" sheetId="14" r:id="rId7"/>
    <sheet name="8-Simulação_A" sheetId="19" r:id="rId8"/>
    <sheet name="9-Comparação" sheetId="20" r:id="rId9"/>
  </sheets>
  <definedNames>
    <definedName name="_xlnm._FilterDatabase" localSheetId="0" hidden="1">'1-Valor_Unitário_Economia'!$A$1:$L$1</definedName>
    <definedName name="_xlnm._FilterDatabase" localSheetId="1" hidden="1">'2-Proporção'!#REF!</definedName>
    <definedName name="_xlnm.Print_Area" localSheetId="7">'8-Simulação_A'!$A$1:$L$11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0" l="1"/>
  <c r="D9" i="20"/>
  <c r="E9" i="20" s="1"/>
  <c r="C10" i="20"/>
  <c r="D10" i="20"/>
  <c r="E10" i="20" s="1"/>
  <c r="C11" i="20"/>
  <c r="D11" i="20"/>
  <c r="E11" i="20" s="1"/>
  <c r="C12" i="20"/>
  <c r="D12" i="20"/>
  <c r="E12" i="20" s="1"/>
  <c r="C13" i="20"/>
  <c r="D13" i="20"/>
  <c r="E13" i="20" s="1"/>
  <c r="C14" i="20"/>
  <c r="D14" i="20"/>
  <c r="E14" i="20" s="1"/>
  <c r="C15" i="20"/>
  <c r="D15" i="20"/>
  <c r="E15" i="20" s="1"/>
  <c r="C16" i="20"/>
  <c r="D16" i="20"/>
  <c r="E16" i="20" s="1"/>
  <c r="C17" i="20"/>
  <c r="D17" i="20"/>
  <c r="E17" i="20" s="1"/>
  <c r="C18" i="20"/>
  <c r="D18" i="20"/>
  <c r="E18" i="20" s="1"/>
  <c r="C19" i="20"/>
  <c r="D19" i="20"/>
  <c r="E19" i="20" s="1"/>
  <c r="C20" i="20"/>
  <c r="D20" i="20"/>
  <c r="E20" i="20" s="1"/>
  <c r="C21" i="20"/>
  <c r="D21" i="20"/>
  <c r="E21" i="20" s="1"/>
  <c r="C22" i="20"/>
  <c r="D22" i="20"/>
  <c r="E22" i="20" s="1"/>
  <c r="C23" i="20"/>
  <c r="D23" i="20"/>
  <c r="E23" i="20" s="1"/>
  <c r="C24" i="20"/>
  <c r="D24" i="20"/>
  <c r="E24" i="20" s="1"/>
  <c r="C25" i="20"/>
  <c r="D25" i="20"/>
  <c r="E25" i="20" s="1"/>
  <c r="C26" i="20"/>
  <c r="D26" i="20"/>
  <c r="E26" i="20" s="1"/>
  <c r="C27" i="20"/>
  <c r="D27" i="20"/>
  <c r="E27" i="20" s="1"/>
  <c r="C28" i="20"/>
  <c r="D28" i="20"/>
  <c r="E28" i="20" s="1"/>
  <c r="C29" i="20"/>
  <c r="D29" i="20"/>
  <c r="E29" i="20" s="1"/>
  <c r="C30" i="20"/>
  <c r="D30" i="20"/>
  <c r="E30" i="20" s="1"/>
  <c r="C31" i="20"/>
  <c r="D31" i="20"/>
  <c r="E31" i="20" s="1"/>
  <c r="C32" i="20"/>
  <c r="D32" i="20"/>
  <c r="E32" i="20" s="1"/>
  <c r="C33" i="20"/>
  <c r="D33" i="20"/>
  <c r="E33" i="20" s="1"/>
  <c r="C34" i="20"/>
  <c r="D34" i="20"/>
  <c r="E34" i="20" s="1"/>
  <c r="C35" i="20"/>
  <c r="D35" i="20"/>
  <c r="E35" i="20" s="1"/>
  <c r="C36" i="20"/>
  <c r="D36" i="20"/>
  <c r="E36" i="20" s="1"/>
  <c r="C37" i="20"/>
  <c r="D37" i="20"/>
  <c r="E37" i="20" s="1"/>
  <c r="C38" i="20"/>
  <c r="D38" i="20"/>
  <c r="E38" i="20" s="1"/>
  <c r="C39" i="20"/>
  <c r="D39" i="20"/>
  <c r="E39" i="20" s="1"/>
  <c r="C40" i="20"/>
  <c r="D40" i="20"/>
  <c r="E40" i="20" s="1"/>
  <c r="C41" i="20"/>
  <c r="D41" i="20"/>
  <c r="E41" i="20" s="1"/>
  <c r="C42" i="20"/>
  <c r="D42" i="20"/>
  <c r="E42" i="20" s="1"/>
  <c r="C43" i="20"/>
  <c r="D43" i="20"/>
  <c r="E43" i="20" s="1"/>
  <c r="C44" i="20"/>
  <c r="D44" i="20"/>
  <c r="E44" i="20" s="1"/>
  <c r="C45" i="20"/>
  <c r="D45" i="20"/>
  <c r="E45" i="20" s="1"/>
  <c r="C46" i="20"/>
  <c r="D46" i="20"/>
  <c r="E46" i="20" s="1"/>
  <c r="C47" i="20"/>
  <c r="D47" i="20"/>
  <c r="E47" i="20" s="1"/>
  <c r="C48" i="20"/>
  <c r="D48" i="20"/>
  <c r="E48" i="20" s="1"/>
  <c r="C5" i="13"/>
  <c r="C4" i="13" s="1"/>
  <c r="C3" i="13"/>
  <c r="D8" i="20" l="1"/>
  <c r="E8" i="20" s="1"/>
  <c r="C8" i="20"/>
  <c r="E9" i="8"/>
  <c r="C5" i="14" s="1"/>
  <c r="D9" i="8"/>
  <c r="C9" i="8"/>
  <c r="C3" i="14" s="1"/>
  <c r="C8" i="8"/>
  <c r="D8" i="8"/>
  <c r="E8" i="8"/>
  <c r="F8" i="8"/>
  <c r="C4" i="14"/>
  <c r="F5" i="10" l="1"/>
  <c r="B6" i="16" l="1"/>
  <c r="B4" i="16"/>
  <c r="E11" i="19" l="1"/>
  <c r="D11" i="19"/>
  <c r="E10" i="19"/>
  <c r="D10" i="19"/>
  <c r="E9" i="19"/>
  <c r="D9" i="19"/>
  <c r="D8" i="19"/>
  <c r="D7" i="19"/>
  <c r="D5" i="19"/>
  <c r="D4" i="19"/>
  <c r="J46" i="9" l="1"/>
  <c r="C7" i="13" s="1"/>
  <c r="C8" i="13" s="1"/>
  <c r="E7" i="14" s="1"/>
  <c r="I46" i="9"/>
  <c r="C5" i="16"/>
  <c r="C4" i="16"/>
  <c r="E7" i="19" l="1"/>
  <c r="D14" i="10"/>
  <c r="G15" i="10" s="1"/>
  <c r="H15" i="10" s="1"/>
  <c r="E10" i="10"/>
  <c r="F10" i="10" s="1"/>
  <c r="K46" i="9"/>
  <c r="L14" i="9"/>
  <c r="L7" i="9"/>
  <c r="L11" i="9"/>
  <c r="L26" i="9"/>
  <c r="L12" i="9"/>
  <c r="L10" i="9"/>
  <c r="L32" i="9"/>
  <c r="L24" i="9"/>
  <c r="L25" i="9"/>
  <c r="L17" i="9"/>
  <c r="L39" i="9"/>
  <c r="L40" i="9"/>
  <c r="L41" i="9"/>
  <c r="L34" i="9"/>
  <c r="L13" i="9"/>
  <c r="L35" i="9"/>
  <c r="L33" i="9"/>
  <c r="L37" i="9"/>
  <c r="L18" i="9"/>
  <c r="L8" i="9"/>
  <c r="L29" i="9"/>
  <c r="L15" i="9"/>
  <c r="L22" i="9"/>
  <c r="L19" i="9"/>
  <c r="L38" i="9"/>
  <c r="L6" i="9"/>
  <c r="L27" i="9"/>
  <c r="G5" i="9"/>
  <c r="F5" i="9"/>
  <c r="F46" i="9" s="1"/>
  <c r="L42" i="9"/>
  <c r="L23" i="9"/>
  <c r="L3" i="9"/>
  <c r="L31" i="9"/>
  <c r="L4" i="9"/>
  <c r="L2" i="9"/>
  <c r="L9" i="9"/>
  <c r="L36" i="9"/>
  <c r="L21" i="9"/>
  <c r="L16" i="9"/>
  <c r="L28" i="9"/>
  <c r="L30" i="9"/>
  <c r="L20" i="9"/>
  <c r="L5" i="9" l="1"/>
  <c r="E10" i="14"/>
  <c r="L46" i="9"/>
  <c r="G14" i="10"/>
  <c r="E5" i="19" l="1"/>
  <c r="E6" i="19" s="1"/>
  <c r="E4" i="19"/>
  <c r="C6" i="16" l="1"/>
  <c r="C8" i="16" s="1"/>
  <c r="C9" i="16" s="1"/>
  <c r="C37" i="19"/>
  <c r="C19" i="19"/>
  <c r="C35" i="19"/>
  <c r="C33" i="19"/>
  <c r="C27" i="19"/>
  <c r="C20" i="19"/>
  <c r="C30" i="19"/>
  <c r="C24" i="19"/>
  <c r="C25" i="19"/>
  <c r="C36" i="19"/>
  <c r="C34" i="19"/>
  <c r="C26" i="19"/>
  <c r="C18" i="19"/>
  <c r="C31" i="19"/>
  <c r="C23" i="19"/>
  <c r="D5" i="14"/>
  <c r="C17" i="19"/>
  <c r="C29" i="19"/>
  <c r="C22" i="19"/>
  <c r="D4" i="14"/>
  <c r="C21" i="19"/>
  <c r="C32" i="19"/>
  <c r="D3" i="14"/>
  <c r="C28" i="19"/>
  <c r="E4" i="14" l="1"/>
  <c r="E3" i="14" l="1"/>
  <c r="G4" i="14"/>
  <c r="F4" i="14"/>
  <c r="E5" i="14"/>
  <c r="G5" i="14" s="1"/>
  <c r="F3" i="14" l="1"/>
  <c r="G3" i="14"/>
  <c r="E6" i="14"/>
  <c r="F5" i="14"/>
  <c r="E11" i="14" l="1"/>
  <c r="G6" i="14"/>
  <c r="E8" i="14"/>
  <c r="E9" i="14" s="1"/>
  <c r="F6" i="14"/>
  <c r="F9" i="20" l="1"/>
  <c r="G9" i="20" s="1"/>
  <c r="F10" i="20"/>
  <c r="G10" i="20" s="1"/>
  <c r="F11" i="20"/>
  <c r="G11" i="20" s="1"/>
  <c r="F12" i="20"/>
  <c r="G12" i="20" s="1"/>
  <c r="F13" i="20"/>
  <c r="G13" i="20" s="1"/>
  <c r="F14" i="20"/>
  <c r="G14" i="20" s="1"/>
  <c r="F15" i="20"/>
  <c r="G15" i="20" s="1"/>
  <c r="F16" i="20"/>
  <c r="G16" i="20" s="1"/>
  <c r="F17" i="20"/>
  <c r="G17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F42" i="20"/>
  <c r="G42" i="20" s="1"/>
  <c r="F43" i="20"/>
  <c r="G43" i="20" s="1"/>
  <c r="F44" i="20"/>
  <c r="G44" i="20" s="1"/>
  <c r="F45" i="20"/>
  <c r="G45" i="20" s="1"/>
  <c r="F46" i="20"/>
  <c r="G46" i="20" s="1"/>
  <c r="F47" i="20"/>
  <c r="G47" i="20" s="1"/>
  <c r="F48" i="20"/>
  <c r="G48" i="20" s="1"/>
  <c r="F8" i="20"/>
  <c r="G8" i="20" s="1"/>
  <c r="D29" i="19"/>
  <c r="E29" i="19" s="1"/>
  <c r="D19" i="19"/>
  <c r="E19" i="19" s="1"/>
  <c r="D31" i="19"/>
  <c r="E31" i="19" s="1"/>
  <c r="D18" i="19"/>
  <c r="E18" i="19" s="1"/>
  <c r="D26" i="19"/>
  <c r="E26" i="19" s="1"/>
  <c r="D27" i="19"/>
  <c r="E27" i="19" s="1"/>
  <c r="D22" i="19"/>
  <c r="E22" i="19" s="1"/>
  <c r="D34" i="19"/>
  <c r="E34" i="19" s="1"/>
  <c r="D33" i="19"/>
  <c r="E33" i="19" s="1"/>
  <c r="D37" i="19"/>
  <c r="E37" i="19" s="1"/>
  <c r="D35" i="19"/>
  <c r="E35" i="19" s="1"/>
  <c r="D25" i="19"/>
  <c r="E25" i="19" s="1"/>
  <c r="D36" i="19"/>
  <c r="E36" i="19" s="1"/>
  <c r="D32" i="19"/>
  <c r="E32" i="19" s="1"/>
  <c r="D28" i="19"/>
  <c r="E28" i="19" s="1"/>
  <c r="D23" i="19"/>
  <c r="E23" i="19" s="1"/>
  <c r="D17" i="19"/>
  <c r="E17" i="19" s="1"/>
  <c r="D20" i="19"/>
  <c r="E20" i="19" s="1"/>
  <c r="D24" i="19"/>
  <c r="E24" i="19" s="1"/>
  <c r="D30" i="19"/>
  <c r="E30" i="19" s="1"/>
  <c r="D21" i="19"/>
  <c r="E21" i="19" s="1"/>
  <c r="G11" i="14"/>
  <c r="G8" i="14"/>
  <c r="G9" i="14" s="1"/>
  <c r="F8" i="14"/>
  <c r="F9" i="14" s="1"/>
  <c r="F11" i="14"/>
  <c r="H19" i="20" l="1"/>
  <c r="H17" i="20"/>
  <c r="I8" i="20"/>
  <c r="J8" i="20" s="1"/>
  <c r="I10" i="20"/>
  <c r="J10" i="20" s="1"/>
  <c r="I15" i="20"/>
  <c r="J15" i="20" s="1"/>
  <c r="I21" i="20"/>
  <c r="J21" i="20" s="1"/>
  <c r="I27" i="20"/>
  <c r="J27" i="20" s="1"/>
  <c r="I33" i="20"/>
  <c r="J33" i="20" s="1"/>
  <c r="I39" i="20"/>
  <c r="J39" i="20" s="1"/>
  <c r="I45" i="20"/>
  <c r="J45" i="20" s="1"/>
  <c r="I14" i="20"/>
  <c r="J14" i="20" s="1"/>
  <c r="I20" i="20"/>
  <c r="J20" i="20" s="1"/>
  <c r="I26" i="20"/>
  <c r="J26" i="20" s="1"/>
  <c r="I32" i="20"/>
  <c r="J32" i="20" s="1"/>
  <c r="I38" i="20"/>
  <c r="J38" i="20" s="1"/>
  <c r="I9" i="20"/>
  <c r="J9" i="20" s="1"/>
  <c r="I44" i="20"/>
  <c r="J44" i="20" s="1"/>
  <c r="I19" i="20"/>
  <c r="J19" i="20" s="1"/>
  <c r="I25" i="20"/>
  <c r="J25" i="20" s="1"/>
  <c r="I43" i="20"/>
  <c r="J43" i="20" s="1"/>
  <c r="I13" i="20"/>
  <c r="J13" i="20" s="1"/>
  <c r="I31" i="20"/>
  <c r="J31" i="20" s="1"/>
  <c r="I37" i="20"/>
  <c r="J37" i="20" s="1"/>
  <c r="I12" i="20"/>
  <c r="J12" i="20" s="1"/>
  <c r="I18" i="20"/>
  <c r="J18" i="20" s="1"/>
  <c r="I30" i="20"/>
  <c r="J30" i="20" s="1"/>
  <c r="I36" i="20"/>
  <c r="J36" i="20" s="1"/>
  <c r="I42" i="20"/>
  <c r="J42" i="20" s="1"/>
  <c r="I48" i="20"/>
  <c r="J48" i="20" s="1"/>
  <c r="I24" i="20"/>
  <c r="J24" i="20" s="1"/>
  <c r="I29" i="20"/>
  <c r="J29" i="20" s="1"/>
  <c r="I47" i="20"/>
  <c r="J47" i="20" s="1"/>
  <c r="I11" i="20"/>
  <c r="J11" i="20" s="1"/>
  <c r="I34" i="20"/>
  <c r="J34" i="20" s="1"/>
  <c r="I16" i="20"/>
  <c r="J16" i="20" s="1"/>
  <c r="I23" i="20"/>
  <c r="J23" i="20" s="1"/>
  <c r="I41" i="20"/>
  <c r="J41" i="20" s="1"/>
  <c r="I28" i="20"/>
  <c r="J28" i="20" s="1"/>
  <c r="I46" i="20"/>
  <c r="J46" i="20" s="1"/>
  <c r="I35" i="20"/>
  <c r="J35" i="20" s="1"/>
  <c r="I17" i="20"/>
  <c r="J17" i="20" s="1"/>
  <c r="I22" i="20"/>
  <c r="J22" i="20" s="1"/>
  <c r="I40" i="20"/>
  <c r="J40" i="20" s="1"/>
  <c r="H13" i="20"/>
  <c r="H43" i="20"/>
  <c r="H29" i="20"/>
  <c r="H28" i="20"/>
  <c r="H39" i="20"/>
  <c r="H26" i="20"/>
  <c r="L8" i="20"/>
  <c r="M8" i="20" s="1"/>
  <c r="L11" i="20"/>
  <c r="M11" i="20" s="1"/>
  <c r="L17" i="20"/>
  <c r="M17" i="20" s="1"/>
  <c r="L23" i="20"/>
  <c r="M23" i="20" s="1"/>
  <c r="L29" i="20"/>
  <c r="M29" i="20" s="1"/>
  <c r="L35" i="20"/>
  <c r="M35" i="20" s="1"/>
  <c r="L41" i="20"/>
  <c r="M41" i="20" s="1"/>
  <c r="L47" i="20"/>
  <c r="M47" i="20" s="1"/>
  <c r="L28" i="20"/>
  <c r="M28" i="20" s="1"/>
  <c r="L46" i="20"/>
  <c r="M46" i="20" s="1"/>
  <c r="L27" i="20"/>
  <c r="M27" i="20" s="1"/>
  <c r="L33" i="20"/>
  <c r="M33" i="20" s="1"/>
  <c r="L39" i="20"/>
  <c r="M39" i="20" s="1"/>
  <c r="L16" i="20"/>
  <c r="M16" i="20" s="1"/>
  <c r="L22" i="20"/>
  <c r="M22" i="20" s="1"/>
  <c r="L34" i="20"/>
  <c r="M34" i="20" s="1"/>
  <c r="L40" i="20"/>
  <c r="M40" i="20" s="1"/>
  <c r="L10" i="20"/>
  <c r="M10" i="20" s="1"/>
  <c r="L15" i="20"/>
  <c r="M15" i="20" s="1"/>
  <c r="L21" i="20"/>
  <c r="M21" i="20" s="1"/>
  <c r="L45" i="20"/>
  <c r="M45" i="20" s="1"/>
  <c r="L9" i="20"/>
  <c r="M9" i="20" s="1"/>
  <c r="L14" i="20"/>
  <c r="M14" i="20" s="1"/>
  <c r="L20" i="20"/>
  <c r="M20" i="20" s="1"/>
  <c r="L26" i="20"/>
  <c r="M26" i="20" s="1"/>
  <c r="L32" i="20"/>
  <c r="M32" i="20" s="1"/>
  <c r="L38" i="20"/>
  <c r="M38" i="20" s="1"/>
  <c r="L44" i="20"/>
  <c r="M44" i="20" s="1"/>
  <c r="L13" i="20"/>
  <c r="M13" i="20" s="1"/>
  <c r="L37" i="20"/>
  <c r="M37" i="20" s="1"/>
  <c r="L24" i="20"/>
  <c r="M24" i="20" s="1"/>
  <c r="L42" i="20"/>
  <c r="M42" i="20" s="1"/>
  <c r="L31" i="20"/>
  <c r="M31" i="20" s="1"/>
  <c r="L18" i="20"/>
  <c r="M18" i="20" s="1"/>
  <c r="L36" i="20"/>
  <c r="M36" i="20" s="1"/>
  <c r="L25" i="20"/>
  <c r="M25" i="20" s="1"/>
  <c r="L43" i="20"/>
  <c r="M43" i="20" s="1"/>
  <c r="L30" i="20"/>
  <c r="M30" i="20" s="1"/>
  <c r="L48" i="20"/>
  <c r="M48" i="20" s="1"/>
  <c r="L19" i="20"/>
  <c r="M19" i="20" s="1"/>
  <c r="L12" i="20"/>
  <c r="M12" i="20" s="1"/>
  <c r="H25" i="20"/>
  <c r="H48" i="20"/>
  <c r="H36" i="20"/>
  <c r="H12" i="20"/>
  <c r="H35" i="20"/>
  <c r="H11" i="20"/>
  <c r="H46" i="20"/>
  <c r="H22" i="20"/>
  <c r="H45" i="20"/>
  <c r="H21" i="20"/>
  <c r="H9" i="20"/>
  <c r="H31" i="20"/>
  <c r="H42" i="20"/>
  <c r="H30" i="20"/>
  <c r="H18" i="20"/>
  <c r="H41" i="20"/>
  <c r="H40" i="20"/>
  <c r="H16" i="20"/>
  <c r="H27" i="20"/>
  <c r="H15" i="20"/>
  <c r="H38" i="20"/>
  <c r="H14" i="20"/>
  <c r="H37" i="20"/>
  <c r="H24" i="20"/>
  <c r="F20" i="19"/>
  <c r="H47" i="20"/>
  <c r="H23" i="20"/>
  <c r="H34" i="20"/>
  <c r="H10" i="20"/>
  <c r="H33" i="20"/>
  <c r="H44" i="20"/>
  <c r="H32" i="20"/>
  <c r="H20" i="20"/>
  <c r="H8" i="20"/>
  <c r="F29" i="19"/>
  <c r="F26" i="19"/>
  <c r="F27" i="19"/>
  <c r="F24" i="19"/>
  <c r="F30" i="19"/>
  <c r="F17" i="19"/>
  <c r="F21" i="19"/>
  <c r="F35" i="19"/>
  <c r="F34" i="19"/>
  <c r="F31" i="19"/>
  <c r="F19" i="19"/>
  <c r="F18" i="19"/>
  <c r="F25" i="19"/>
  <c r="F37" i="19"/>
  <c r="J34" i="19"/>
  <c r="K34" i="19" s="1"/>
  <c r="J33" i="19"/>
  <c r="K33" i="19" s="1"/>
  <c r="J28" i="19"/>
  <c r="K28" i="19" s="1"/>
  <c r="J20" i="19"/>
  <c r="K20" i="19" s="1"/>
  <c r="J31" i="19"/>
  <c r="K31" i="19" s="1"/>
  <c r="J25" i="19"/>
  <c r="K25" i="19" s="1"/>
  <c r="J24" i="19"/>
  <c r="K24" i="19" s="1"/>
  <c r="J21" i="19"/>
  <c r="K21" i="19" s="1"/>
  <c r="J22" i="19"/>
  <c r="K22" i="19" s="1"/>
  <c r="J27" i="19"/>
  <c r="K27" i="19" s="1"/>
  <c r="J29" i="19"/>
  <c r="K29" i="19" s="1"/>
  <c r="J23" i="19"/>
  <c r="K23" i="19" s="1"/>
  <c r="J19" i="19"/>
  <c r="K19" i="19" s="1"/>
  <c r="J18" i="19"/>
  <c r="K18" i="19" s="1"/>
  <c r="J17" i="19"/>
  <c r="K17" i="19" s="1"/>
  <c r="J37" i="19"/>
  <c r="K37" i="19" s="1"/>
  <c r="J35" i="19"/>
  <c r="K35" i="19" s="1"/>
  <c r="J36" i="19"/>
  <c r="K36" i="19" s="1"/>
  <c r="J26" i="19"/>
  <c r="K26" i="19" s="1"/>
  <c r="J32" i="19"/>
  <c r="K32" i="19" s="1"/>
  <c r="J30" i="19"/>
  <c r="K30" i="19" s="1"/>
  <c r="F23" i="19"/>
  <c r="F22" i="19"/>
  <c r="F28" i="19"/>
  <c r="F36" i="19"/>
  <c r="F33" i="19"/>
  <c r="F32" i="19"/>
  <c r="G34" i="19"/>
  <c r="H34" i="19" s="1"/>
  <c r="G29" i="19"/>
  <c r="H29" i="19" s="1"/>
  <c r="G30" i="19"/>
  <c r="H30" i="19" s="1"/>
  <c r="G17" i="19"/>
  <c r="H17" i="19" s="1"/>
  <c r="G27" i="19"/>
  <c r="H27" i="19" s="1"/>
  <c r="G36" i="19"/>
  <c r="H36" i="19" s="1"/>
  <c r="G35" i="19"/>
  <c r="H35" i="19" s="1"/>
  <c r="G18" i="19"/>
  <c r="H18" i="19" s="1"/>
  <c r="G20" i="19"/>
  <c r="H20" i="19" s="1"/>
  <c r="G24" i="19"/>
  <c r="H24" i="19" s="1"/>
  <c r="G21" i="19"/>
  <c r="H21" i="19" s="1"/>
  <c r="G23" i="19"/>
  <c r="H23" i="19" s="1"/>
  <c r="G26" i="19"/>
  <c r="H26" i="19" s="1"/>
  <c r="G28" i="19"/>
  <c r="H28" i="19" s="1"/>
  <c r="G19" i="19"/>
  <c r="H19" i="19" s="1"/>
  <c r="G31" i="19"/>
  <c r="H31" i="19" s="1"/>
  <c r="G25" i="19"/>
  <c r="H25" i="19" s="1"/>
  <c r="G22" i="19"/>
  <c r="H22" i="19" s="1"/>
  <c r="G33" i="19"/>
  <c r="H33" i="19" s="1"/>
  <c r="G37" i="19"/>
  <c r="H37" i="19" s="1"/>
  <c r="G32" i="19"/>
  <c r="H32" i="19" s="1"/>
  <c r="K34" i="20" l="1"/>
  <c r="K11" i="20"/>
  <c r="K47" i="20"/>
  <c r="K29" i="20"/>
  <c r="K24" i="20"/>
  <c r="K48" i="20"/>
  <c r="K9" i="20"/>
  <c r="K36" i="20"/>
  <c r="K28" i="20"/>
  <c r="N37" i="20"/>
  <c r="N10" i="20"/>
  <c r="N35" i="20"/>
  <c r="K41" i="20"/>
  <c r="K18" i="20"/>
  <c r="K26" i="20"/>
  <c r="N38" i="20"/>
  <c r="N17" i="20"/>
  <c r="K31" i="20"/>
  <c r="N30" i="20"/>
  <c r="N16" i="20"/>
  <c r="K13" i="20"/>
  <c r="N26" i="20"/>
  <c r="N8" i="20"/>
  <c r="K33" i="20"/>
  <c r="N20" i="20"/>
  <c r="K40" i="20"/>
  <c r="K27" i="20"/>
  <c r="K22" i="20"/>
  <c r="K15" i="20"/>
  <c r="N45" i="20"/>
  <c r="K38" i="20"/>
  <c r="N24" i="20"/>
  <c r="N41" i="20"/>
  <c r="K30" i="20"/>
  <c r="K32" i="20"/>
  <c r="N13" i="20"/>
  <c r="N40" i="20"/>
  <c r="N29" i="20"/>
  <c r="K23" i="20"/>
  <c r="K12" i="20"/>
  <c r="K20" i="20"/>
  <c r="N48" i="20"/>
  <c r="N22" i="20"/>
  <c r="K45" i="20"/>
  <c r="N32" i="20"/>
  <c r="N11" i="20"/>
  <c r="K39" i="20"/>
  <c r="N43" i="20"/>
  <c r="N39" i="20"/>
  <c r="K43" i="20"/>
  <c r="N25" i="20"/>
  <c r="N33" i="20"/>
  <c r="K25" i="20"/>
  <c r="N36" i="20"/>
  <c r="N14" i="20"/>
  <c r="N27" i="20"/>
  <c r="K19" i="20"/>
  <c r="K21" i="20"/>
  <c r="N18" i="20"/>
  <c r="N9" i="20"/>
  <c r="N46" i="20"/>
  <c r="K17" i="20"/>
  <c r="K44" i="20"/>
  <c r="N31" i="20"/>
  <c r="N28" i="20"/>
  <c r="K35" i="20"/>
  <c r="K42" i="20"/>
  <c r="K10" i="20"/>
  <c r="N42" i="20"/>
  <c r="N21" i="20"/>
  <c r="N47" i="20"/>
  <c r="K46" i="20"/>
  <c r="K8" i="20"/>
  <c r="N15" i="20"/>
  <c r="N12" i="20"/>
  <c r="N19" i="20"/>
  <c r="N44" i="20"/>
  <c r="N34" i="20"/>
  <c r="N23" i="20"/>
  <c r="K16" i="20"/>
  <c r="K37" i="20"/>
  <c r="K14" i="20"/>
  <c r="I37" i="19"/>
  <c r="I32" i="19"/>
  <c r="I27" i="19"/>
  <c r="I35" i="19"/>
  <c r="L34" i="19"/>
  <c r="L19" i="19"/>
  <c r="L36" i="19"/>
  <c r="L37" i="19"/>
  <c r="L32" i="19"/>
  <c r="L17" i="19"/>
  <c r="L25" i="19"/>
  <c r="L24" i="19"/>
  <c r="I20" i="19"/>
  <c r="I36" i="19"/>
  <c r="L28" i="19"/>
  <c r="L26" i="19"/>
  <c r="I34" i="19"/>
  <c r="I25" i="19"/>
  <c r="L22" i="19"/>
  <c r="I30" i="19"/>
  <c r="L18" i="19"/>
  <c r="L23" i="19"/>
  <c r="I22" i="19"/>
  <c r="L21" i="19"/>
  <c r="L29" i="19"/>
  <c r="L20" i="19"/>
  <c r="L30" i="19"/>
  <c r="I29" i="19"/>
  <c r="L33" i="19"/>
  <c r="L31" i="19"/>
  <c r="L27" i="19"/>
  <c r="L35" i="19"/>
  <c r="I31" i="19"/>
  <c r="I19" i="19"/>
  <c r="I26" i="19"/>
  <c r="I21" i="19"/>
  <c r="I23" i="19"/>
  <c r="I18" i="19"/>
  <c r="I33" i="19"/>
  <c r="I28" i="19"/>
  <c r="I24" i="19"/>
  <c r="I17" i="19"/>
</calcChain>
</file>

<file path=xl/sharedStrings.xml><?xml version="1.0" encoding="utf-8"?>
<sst xmlns="http://schemas.openxmlformats.org/spreadsheetml/2006/main" count="407" uniqueCount="265">
  <si>
    <t>%</t>
  </si>
  <si>
    <t>Taxa Mensal:</t>
  </si>
  <si>
    <t>Parâmetros</t>
  </si>
  <si>
    <t>Dados</t>
  </si>
  <si>
    <t>Período Antecipado (em meses):</t>
  </si>
  <si>
    <t>Taxa Selic Anual:</t>
  </si>
  <si>
    <t>Item de Custo</t>
  </si>
  <si>
    <t>Mão de Obra</t>
  </si>
  <si>
    <t>Equipamentos</t>
  </si>
  <si>
    <t>Proporção Média</t>
  </si>
  <si>
    <t>Descritivo</t>
  </si>
  <si>
    <t>Valor</t>
  </si>
  <si>
    <t>Custo do Serviço Antecipado (Valor - BDI):</t>
  </si>
  <si>
    <t>Materiais</t>
  </si>
  <si>
    <t>Cenário A</t>
  </si>
  <si>
    <t>Cenário B</t>
  </si>
  <si>
    <t>Cenário C</t>
  </si>
  <si>
    <t>Valor Rateio</t>
  </si>
  <si>
    <t>Nº Contrato SGL</t>
  </si>
  <si>
    <t>RC</t>
  </si>
  <si>
    <t>Nº Contrato SAP</t>
  </si>
  <si>
    <t>Objeto Reduzido</t>
  </si>
  <si>
    <t>Situação</t>
  </si>
  <si>
    <t>00855/24-0000</t>
  </si>
  <si>
    <t>0011360309</t>
  </si>
  <si>
    <t>4600058395</t>
  </si>
  <si>
    <t>Integra Tietê - Fase 1 - Pacote 02B - São Paulo - Bacia TC-12, Rio Cabuçu de Baixo</t>
  </si>
  <si>
    <t>ANDAMENTO</t>
  </si>
  <si>
    <t>00922/24-0000</t>
  </si>
  <si>
    <t>0011363753</t>
  </si>
  <si>
    <t>4600058477</t>
  </si>
  <si>
    <t>Integra Tietê - Fase 1 - Pacote 21 - Barueri , Bacias TO-08, TO-10, TO-12 e TO-14, Margem Direta do Rio Tietê</t>
  </si>
  <si>
    <t>00920/24-0000</t>
  </si>
  <si>
    <t>0011362500</t>
  </si>
  <si>
    <t>4600058528</t>
  </si>
  <si>
    <t>Integra Tietê - Fase 1 - Pacote 06B - Ferraz de Vasconcelos, Itaquaquecetuba, Poá, Suzano, Bacias TL-23, TL-25, TL-25A e TL-27, Ribeirão Três Pontes e Outros</t>
  </si>
  <si>
    <t>00797/24-0000</t>
  </si>
  <si>
    <t>0011357131</t>
  </si>
  <si>
    <t>4600058451</t>
  </si>
  <si>
    <t>Integra Tietê - Fase 1 - Pacote 20 - Guarulhos e Arujá - Bacia TL-10, Margem Esquerda Do Alto Baquirivu-Guaçu</t>
  </si>
  <si>
    <t>00888/24-0000</t>
  </si>
  <si>
    <t>0011512617</t>
  </si>
  <si>
    <t>4600059376</t>
  </si>
  <si>
    <t>Integra Tietê - Fase 1 - Pacote 09 - Santo André e São Paulo - Bacias do Rio Tamanduateí</t>
  </si>
  <si>
    <t>00954/24-0000</t>
  </si>
  <si>
    <t>0011364536</t>
  </si>
  <si>
    <t>4600058382</t>
  </si>
  <si>
    <t>Integra Tietê - Fase 1 - Pacote 06A - Ferraz de Vasconcelos e São Paulo, Bacias TL-17,TL-19,TL-21 e TL-21A, Córregos Água Vermelha, Lajeado, Itaim e Tijuco Preto</t>
  </si>
  <si>
    <t>00636/24-0000</t>
  </si>
  <si>
    <t>0011352094</t>
  </si>
  <si>
    <t>4600057707</t>
  </si>
  <si>
    <t>Itaquaquecetuba - Coleta e Afastamento de Esgoto - Reversão da Bacia VI-03  - Coletores Félix, São Bento e outros</t>
  </si>
  <si>
    <t>00200/24-0000</t>
  </si>
  <si>
    <t>0011335815</t>
  </si>
  <si>
    <t>4600058390</t>
  </si>
  <si>
    <t>Integra Tietê - Fase 1 - Pacote 13 - Guarulhos - Bacia TL-02 e TL-04, Córrego Itapegica e Córrego Guarulhos</t>
  </si>
  <si>
    <t>00268/24-0000</t>
  </si>
  <si>
    <t>0011338479</t>
  </si>
  <si>
    <t>4600058482</t>
  </si>
  <si>
    <t>Integra Tietê - Fase 1 - Pacote 10C - Guarulhos - Bacia TL-10, Rio Baquirivu Guaçu, Sub-Bacia do Alto Cocho Velho</t>
  </si>
  <si>
    <t>00945/24-0000</t>
  </si>
  <si>
    <t>0011364449</t>
  </si>
  <si>
    <t>4600058444</t>
  </si>
  <si>
    <t>Integra Tietê - Fase 1 - Pacote 01B2 - São Paulo, Bacia TL-13, Alto Rio Jacu</t>
  </si>
  <si>
    <t>00201/24-0000</t>
  </si>
  <si>
    <t>0011335870</t>
  </si>
  <si>
    <t>4600058391</t>
  </si>
  <si>
    <t>Integra Tietê - Fase 1 - Pacote 12 - Guarulhos - Bacia TL-08, Córrego Cocaia</t>
  </si>
  <si>
    <t>00894/24-0000</t>
  </si>
  <si>
    <t>0011362502</t>
  </si>
  <si>
    <t>4600058442</t>
  </si>
  <si>
    <t>Integra Tietê - Fase 1 - Pacote 04B - São Paulo, Bacias TC-19 e TC-21, Rio Aricanduva e Córrego Tiquatira</t>
  </si>
  <si>
    <t>02502/24-0000</t>
  </si>
  <si>
    <t>0011416378</t>
  </si>
  <si>
    <t>4600058415</t>
  </si>
  <si>
    <t>Integra Tietê - Fase 1 - Pacote 11 - Guarulhos - Bacia Tl-06, Ribeirão dos Cubas</t>
  </si>
  <si>
    <t>00272/24-0000 e 00277/24-0000</t>
  </si>
  <si>
    <t>0011338337</t>
  </si>
  <si>
    <t>4600058357</t>
  </si>
  <si>
    <t>Integra Tietê - Fase 1 - Pacote 10B - Guarulhos - Bacia TL10, Sub-Bacia do Médio Cocho Velho</t>
  </si>
  <si>
    <t>00918/24-0000</t>
  </si>
  <si>
    <t>0011362268</t>
  </si>
  <si>
    <t>4600058244</t>
  </si>
  <si>
    <t>Integra Tietê - Fase 1 - Pacote 01A2 - Ferraz de Vasconcelos e São Paulo, Bacia TL-15, Alto Ribeirão Itaquera</t>
  </si>
  <si>
    <t>00273/24-0000</t>
  </si>
  <si>
    <t>0011338433</t>
  </si>
  <si>
    <t>4600058585</t>
  </si>
  <si>
    <t>Integra Tietê - Fase 1 - Pacote 15AB - Guarulhos - Bacia TL-10, Sub-bacia do Baixo Baquirivu Guaçu</t>
  </si>
  <si>
    <t>01101/24-0000</t>
  </si>
  <si>
    <t>0011369999</t>
  </si>
  <si>
    <t>4600058711</t>
  </si>
  <si>
    <t>Integra Tietê - Fase 1 - Pacote 03B - Guarulhos e São Paulo, Bacia TC-28, Baixo Rio Cabuçu ee Cima</t>
  </si>
  <si>
    <t>00854/24-0000</t>
  </si>
  <si>
    <t>0011360190</t>
  </si>
  <si>
    <t>4600058725</t>
  </si>
  <si>
    <t>Integra Tietê - Fase 1 - Pacote 02C - São Paulo - Bacias TC-02, TC-04, TC-06, TC-08 e TC-10, Córregos Cintra, Pirituba, Verde e Rio das Pedras</t>
  </si>
  <si>
    <t>00893/24-0000</t>
  </si>
  <si>
    <t>0011362329</t>
  </si>
  <si>
    <t>4600058419</t>
  </si>
  <si>
    <t>Integra Tietê - Fase 1 - Pacote 08B - Diadema e São Bernardo do Campo - Bacia ME-03, Ribeirão dos Couros</t>
  </si>
  <si>
    <t>00774/24-0000</t>
  </si>
  <si>
    <t>0011355672</t>
  </si>
  <si>
    <t>4600058240</t>
  </si>
  <si>
    <t>Integra Tietê - Fase 1 - Pacote 05B - Santo André e São Bernardo do Campo - Bacias ME-06, ME-08 e ME-11, Médio Ribeirão Dos Meninos</t>
  </si>
  <si>
    <t>00921/24-0000</t>
  </si>
  <si>
    <t>0011362501</t>
  </si>
  <si>
    <t>4600058351</t>
  </si>
  <si>
    <t>Integra Tietê - Fase 1 - Pacote 07B - Arujá e Itaquaquecetuba, Bacia TL-18, Ribeirão Perová</t>
  </si>
  <si>
    <t>00276/24-0000</t>
  </si>
  <si>
    <t>0011338444</t>
  </si>
  <si>
    <t>4600058798</t>
  </si>
  <si>
    <t>Integra Tietê - Fase 1 - Pacote 15C - Guarulhos - Bacia TL10 - Rio Baquirivu Guaçu, Sub-bacia do Córrego Invernada</t>
  </si>
  <si>
    <t>00811/24-0000</t>
  </si>
  <si>
    <t>0011357836</t>
  </si>
  <si>
    <t>4600058327</t>
  </si>
  <si>
    <t>Integra Tietê - Fase 1 - Pacote 18A - Barueri - Bacias TO-07 e TO-09, Córrego da Cachoeira</t>
  </si>
  <si>
    <t>01100/24-0000</t>
  </si>
  <si>
    <t>0011369921</t>
  </si>
  <si>
    <t>4600058710</t>
  </si>
  <si>
    <t>Integra Tietê - Fase 1 - Pacote 03A - Guarulhos e São Paulo, Bacia TC-28, Alto Rio Cabuçu de Cima</t>
  </si>
  <si>
    <t>00951/24-0000</t>
  </si>
  <si>
    <t>0011364803</t>
  </si>
  <si>
    <t>4600058229</t>
  </si>
  <si>
    <t>Integra Tietê - Fase 1 - Pacote 07A2 - Itaquaquecetuba e Suzano, Bacias TL-22 e TL-24, Ribeirões Jaguari e Amparo</t>
  </si>
  <si>
    <t>00953/24-0000</t>
  </si>
  <si>
    <t>0011361678</t>
  </si>
  <si>
    <t>4600058366</t>
  </si>
  <si>
    <t>Integra Tietê - Fase 1 - Pacote 01A1 - São Paulo - Bacia TL-15, Baixo Ribeirão Itaquera</t>
  </si>
  <si>
    <t>00725/24-0000</t>
  </si>
  <si>
    <t>0011354635</t>
  </si>
  <si>
    <t>4600058664</t>
  </si>
  <si>
    <t>Integra Tietê - Fase 1 - Pacote 16 - Santo André - Bacias TA-23, TA-25, TA-27, TA-29 e TA-31, Margem Esquerda do Rio Tamanduateí</t>
  </si>
  <si>
    <t>00952/24-0000</t>
  </si>
  <si>
    <t>0011364814</t>
  </si>
  <si>
    <t>4600058148</t>
  </si>
  <si>
    <t>Integra Tietê - Fase 1 - Pacote 07A1 - Itaquaquecetuba, Bacia TL-20, Córrego Mandi</t>
  </si>
  <si>
    <t>01148/24-0000</t>
  </si>
  <si>
    <t>0011371710</t>
  </si>
  <si>
    <t>4600058132</t>
  </si>
  <si>
    <t>Integra Tietê - Fase 1 - Pacote 07C - Itaquaquecetuba e Guarulhos, Bacia TL-16, Córrego Água Branca</t>
  </si>
  <si>
    <t>01139/24-0000</t>
  </si>
  <si>
    <t>0011371453</t>
  </si>
  <si>
    <t>4600058059</t>
  </si>
  <si>
    <t>Integra Tietê - Fase 1 - Pacote 17A - Suzano, Bacias TL-33 e TL-35, Ribeirão Una</t>
  </si>
  <si>
    <t>01136/24-0000</t>
  </si>
  <si>
    <t>0011371451</t>
  </si>
  <si>
    <t>4600058052</t>
  </si>
  <si>
    <t>Integra Tietê - Fase 1 - Pacote 17B - Ferraz de Vasconcelos, Poá, Ribeirão Pires e Suzano, Bacias GU-02, TL-19 e TL-31, Ribeirões Itaim Poá e Guaió</t>
  </si>
  <si>
    <t>00810/24-0000</t>
  </si>
  <si>
    <t>0011357802</t>
  </si>
  <si>
    <t>4600058993</t>
  </si>
  <si>
    <t>Integra Tietê - Fase 1 - Pacote 18B - Barueri - Bacias TO-11 e TO-13, Rios São João do Barueri e Cotia</t>
  </si>
  <si>
    <t>00900/24-0000</t>
  </si>
  <si>
    <t>0011361698</t>
  </si>
  <si>
    <t>4600058226</t>
  </si>
  <si>
    <t>Integra Tietê - Fase 1 - Pacote 19 - Arujá e Guarulhos, Bacia TL-10, Margem Direita do Alto Baquirivu-Guaçu</t>
  </si>
  <si>
    <t>00895/24-0000</t>
  </si>
  <si>
    <t>0011362481</t>
  </si>
  <si>
    <t>4600058359</t>
  </si>
  <si>
    <t>Integra Tietê - Fase 1 - Pacote 01B1 - São Paulo, Bacia TL-13, Baixo Rio Jacu</t>
  </si>
  <si>
    <t>00948/24-0000</t>
  </si>
  <si>
    <t>0011364656</t>
  </si>
  <si>
    <t>4600058418</t>
  </si>
  <si>
    <t>Integra Tietê - Fase 1 - Pacote 01C - São Paulo, Bacias TL-01, TL-05, TL-07, TL-09 e TL-11, Afluentes da Margem Esquerda do Rio Tietê</t>
  </si>
  <si>
    <t>00721/24-0000</t>
  </si>
  <si>
    <t>0011354407</t>
  </si>
  <si>
    <t>4600058440</t>
  </si>
  <si>
    <t>Integra Tietê - Fase 1 - Pacote 04A - São Paulo - Bacias TC-01, TC-03, TC-05, TC-07, TC-09, TC-11, TC-13, TC-13A, TC-15 E TC-17, Córregos Tatuapé, Pacaembu, Sumaré e Tiburtino</t>
  </si>
  <si>
    <t>00723/24-0000</t>
  </si>
  <si>
    <t>0011354597</t>
  </si>
  <si>
    <t>4600058708</t>
  </si>
  <si>
    <t>Integra Tietê - Fase 1 - Pacote 05C - São Bernardo do Campo - Bacias ME-10, ME-12, ME-13, ME-14, ME-15 e ME-17, Alto Ribeirão dos Meninos</t>
  </si>
  <si>
    <t>00913/24-0000</t>
  </si>
  <si>
    <t>0011361945</t>
  </si>
  <si>
    <t>4600058227</t>
  </si>
  <si>
    <t>Integra Tietê - Fase 1 - Pacote 08A - Diadema, São Bernardo do Campo e São Paulo, Bacias ME-01 e ME-03, Córregos Jaboticabal e Ribeirão dos Couros</t>
  </si>
  <si>
    <t>00722/24-0000</t>
  </si>
  <si>
    <t>0011354583</t>
  </si>
  <si>
    <t>4600058238</t>
  </si>
  <si>
    <t>Integra Tietê - Fase 1 - Pacote 05A - Santo André e São Bernardo do Campo - Bacias ME-04, ME-05, ME-07 e ME-09, Baixo Ribeirão dos Meninos</t>
  </si>
  <si>
    <t>00274/24-0000</t>
  </si>
  <si>
    <t>0011338439</t>
  </si>
  <si>
    <t>4600058299</t>
  </si>
  <si>
    <t>Integra Tietê - Fase 1 - Pacote 10A - Guarulhos - Bacia TL10, Rio Baquirivu Guaçu, Sub-Bacia do Baixo Cocho Velho</t>
  </si>
  <si>
    <t>00752/24-0000</t>
  </si>
  <si>
    <t>0011355328</t>
  </si>
  <si>
    <t>4600058487</t>
  </si>
  <si>
    <t>Integra Tietê - Fase 1 - Pacote 02A - São Paulo - Bacias TC-14, TC-16, TC-18, TC-20, TC-22, TC-24 e TC-26, Córregos Mandaqui, Tenente Rocha, Carandiru e Mundo Novo</t>
  </si>
  <si>
    <t>TOTAL</t>
  </si>
  <si>
    <t>00277/24-0000</t>
  </si>
  <si>
    <t>0011338456</t>
  </si>
  <si>
    <t>4600058530</t>
  </si>
  <si>
    <t>Integra Tietê - Fase 1 - Pacote 15D - Guarulhos - Bacia TL10 - Rio Baquirivu Guaçu, Córrego Tanquinho</t>
  </si>
  <si>
    <t>Jornada</t>
  </si>
  <si>
    <t>Horas Semana</t>
  </si>
  <si>
    <t>Horas Diurnas na Semana</t>
  </si>
  <si>
    <t>Horas Noturnas na Semana</t>
  </si>
  <si>
    <t>44 semanais</t>
  </si>
  <si>
    <t>Custo Hora</t>
  </si>
  <si>
    <t>Limite Horas Extras na Semana</t>
  </si>
  <si>
    <t>Total Horas Semanais</t>
  </si>
  <si>
    <t>Cenários - Mão de Obra</t>
  </si>
  <si>
    <r>
      <rPr>
        <b/>
        <u/>
        <sz val="12"/>
        <color theme="1"/>
        <rFont val="Arial"/>
        <family val="2"/>
      </rPr>
      <t>MO</t>
    </r>
    <r>
      <rPr>
        <sz val="12"/>
        <color theme="1"/>
        <rFont val="Arial"/>
        <family val="2"/>
      </rPr>
      <t>: uso de mão de obra adicional, sob a forma de horas noturnas.</t>
    </r>
  </si>
  <si>
    <r>
      <rPr>
        <b/>
        <u/>
        <sz val="12"/>
        <color theme="1"/>
        <rFont val="Arial"/>
        <family val="2"/>
      </rPr>
      <t>MO</t>
    </r>
    <r>
      <rPr>
        <sz val="12"/>
        <color theme="1"/>
        <rFont val="Arial"/>
        <family val="2"/>
      </rPr>
      <t>: uso de mão de obra adicional, sob a forma de horas extras.</t>
    </r>
  </si>
  <si>
    <t>Cenários - Materiais</t>
  </si>
  <si>
    <t>Cenários - Equipamentos</t>
  </si>
  <si>
    <r>
      <rPr>
        <b/>
        <u/>
        <sz val="12"/>
        <color theme="1"/>
        <rFont val="Arial"/>
        <family val="2"/>
      </rPr>
      <t>Equip:</t>
    </r>
    <r>
      <rPr>
        <sz val="12"/>
        <color theme="1"/>
        <rFont val="Arial"/>
        <family val="2"/>
      </rPr>
      <t xml:space="preserve"> uso de equipamentos adicionais, devido à garantir a produtividade do serviço antecipado.</t>
    </r>
  </si>
  <si>
    <t>Acréscimo %</t>
  </si>
  <si>
    <t>Valor Original da Parcela do Serviço Antecipado:</t>
  </si>
  <si>
    <t>Valor Médio Unitário por Economia</t>
  </si>
  <si>
    <t>Horas Extras Sábado</t>
  </si>
  <si>
    <t>Horas Extras Domingo</t>
  </si>
  <si>
    <t>-</t>
  </si>
  <si>
    <t>Economias a Antecipar do Contrato:</t>
  </si>
  <si>
    <t>Aumento de Equipamentos - Cenário B</t>
  </si>
  <si>
    <t>Aumento de Equipamentos - Cenário C</t>
  </si>
  <si>
    <t>Economias 2026</t>
  </si>
  <si>
    <t>Economias Totais</t>
  </si>
  <si>
    <t>Economias 2025</t>
  </si>
  <si>
    <t>Total de Economias 2026 do Integra Tietê:</t>
  </si>
  <si>
    <t>- Parâmetros Adotados na Análise:</t>
  </si>
  <si>
    <t>- Cálculo das Economias:</t>
  </si>
  <si>
    <t>Valor Contratado para 2026:</t>
  </si>
  <si>
    <t>% Total</t>
  </si>
  <si>
    <t>Valor Adicional</t>
  </si>
  <si>
    <t>% de Economia Antecipada:</t>
  </si>
  <si>
    <t>Pagamento Médio Mensal Contratado de 2026:</t>
  </si>
  <si>
    <t>Valor Total Contratado (2025 e 2026):</t>
  </si>
  <si>
    <t>Valor Original</t>
  </si>
  <si>
    <t>Valor em Vigor</t>
  </si>
  <si>
    <t>CENÁRIO A - Fator Hora Normal</t>
  </si>
  <si>
    <t>CENÁRIO B - Fator Hora Noturna</t>
  </si>
  <si>
    <t>CENÁRIO C - Fator Hora Extra</t>
  </si>
  <si>
    <t>Valor Unitário por Economia</t>
  </si>
  <si>
    <t>Valor Adicional (A)</t>
  </si>
  <si>
    <t>Valor Original (O)</t>
  </si>
  <si>
    <t>Valor Total (T = A + O)</t>
  </si>
  <si>
    <t>Valor Total Integra Tietê (VTIT)</t>
  </si>
  <si>
    <t>% de Aumento (A / VTIT)</t>
  </si>
  <si>
    <t>Fator % de Aumento (T / O)</t>
  </si>
  <si>
    <t>Parcela Antecipada</t>
  </si>
  <si>
    <t>% Valor Total Contratado</t>
  </si>
  <si>
    <t>% Parcela Antecipada</t>
  </si>
  <si>
    <r>
      <rPr>
        <b/>
        <u/>
        <sz val="12"/>
        <color theme="1"/>
        <rFont val="Arial"/>
        <family val="2"/>
      </rPr>
      <t>MO</t>
    </r>
    <r>
      <rPr>
        <sz val="12"/>
        <color theme="1"/>
        <rFont val="Arial"/>
        <family val="2"/>
      </rPr>
      <t>: uso da mão de obra prevista em contrato. Valor adicional considera o custo do dinheiro.</t>
    </r>
  </si>
  <si>
    <r>
      <rPr>
        <b/>
        <u/>
        <sz val="12"/>
        <color theme="1"/>
        <rFont val="Arial"/>
        <family val="2"/>
      </rPr>
      <t>Mat</t>
    </r>
    <r>
      <rPr>
        <sz val="12"/>
        <color theme="1"/>
        <rFont val="Arial"/>
        <family val="2"/>
      </rPr>
      <t>: uso dos materiais previstos em contrato. Valor adicional considera o custo do dinheiro.</t>
    </r>
  </si>
  <si>
    <r>
      <rPr>
        <b/>
        <u/>
        <sz val="12"/>
        <color theme="1"/>
        <rFont val="Arial"/>
        <family val="2"/>
      </rPr>
      <t>Mat</t>
    </r>
    <r>
      <rPr>
        <sz val="12"/>
        <color theme="1"/>
        <rFont val="Arial"/>
        <family val="2"/>
      </rPr>
      <t>: uso do material previsto em contrato. Valor adicional considera o custo do dinheiro.</t>
    </r>
  </si>
  <si>
    <r>
      <rPr>
        <b/>
        <u/>
        <sz val="12"/>
        <color theme="1"/>
        <rFont val="Arial"/>
        <family val="2"/>
      </rPr>
      <t>Equip</t>
    </r>
    <r>
      <rPr>
        <sz val="12"/>
        <color theme="1"/>
        <rFont val="Arial"/>
        <family val="2"/>
      </rPr>
      <t>: uso dos equipamentos previstos em contrato. Valor adicional considera o custo do dinheiro.</t>
    </r>
  </si>
  <si>
    <t>TOTAL M.O.</t>
  </si>
  <si>
    <t>TOTAL MAT.</t>
  </si>
  <si>
    <t>TOTAL EQUIP.</t>
  </si>
  <si>
    <t>MND TUBO CRAVADO 300MM</t>
  </si>
  <si>
    <t>MND TUBO CRAVADO 400MM</t>
  </si>
  <si>
    <t>REDE ESG. 200MM</t>
  </si>
  <si>
    <t>INT. 200MM</t>
  </si>
  <si>
    <t>INT. COL. 300MM</t>
  </si>
  <si>
    <t>% TOTAL</t>
  </si>
  <si>
    <t>SERVIÇOS</t>
  </si>
  <si>
    <t>Cálculo do Custo Financeiro Adicional para Custear a Antecipação</t>
  </si>
  <si>
    <t>Saldo do Custo Financeiro (juros):</t>
  </si>
  <si>
    <t xml:space="preserve">Nº Contrato SGL: </t>
  </si>
  <si>
    <t>- Comparações dos Contratos nos Cenários A, B e C</t>
  </si>
  <si>
    <t>Contrato</t>
  </si>
  <si>
    <t xml:space="preserve">% Parcela Antecipada: </t>
  </si>
  <si>
    <t>Valor Total Contratado (2025/2026)</t>
  </si>
  <si>
    <t>Valor Contratado para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</si>
</sst>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%"/>
  </numFmts>
  <fonts count="1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theme="4"/>
      <name val="Arial"/>
      <family val="2"/>
    </font>
    <font>
      <b/>
      <u/>
      <sz val="12"/>
      <color theme="4" tint="0.3999755851924192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5"/>
      <name val="Arial"/>
      <family val="2"/>
    </font>
    <font>
      <b/>
      <u/>
      <sz val="12"/>
      <color theme="5" tint="0.39997558519241921"/>
      <name val="Arial"/>
      <family val="2"/>
    </font>
    <font>
      <b/>
      <u/>
      <sz val="12"/>
      <color theme="6"/>
      <name val="Arial"/>
      <family val="2"/>
    </font>
    <font>
      <b/>
      <u/>
      <sz val="12"/>
      <color theme="6" tint="0.39997558519241921"/>
      <name val="Arial"/>
      <family val="2"/>
    </font>
    <font>
      <b/>
      <sz val="12"/>
      <color theme="3" tint="-0.499984740745262"/>
      <name val="Arial"/>
      <family val="2"/>
    </font>
    <font>
      <sz val="12"/>
      <color theme="0" tint="-0.249977111117893"/>
      <name val="Arial"/>
      <family val="2"/>
    </font>
    <font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left" vertical="center"/>
    </xf>
    <xf numFmtId="3" fontId="5" fillId="0" borderId="2" xfId="0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right" vertical="center"/>
    </xf>
    <xf numFmtId="9" fontId="0" fillId="0" borderId="0" xfId="0" applyNumberFormat="1" applyAlignment="1">
      <alignment vertical="center"/>
    </xf>
    <xf numFmtId="0" fontId="5" fillId="4" borderId="2" xfId="0" quotePrefix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164" fontId="5" fillId="4" borderId="2" xfId="1" applyNumberFormat="1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quotePrefix="1" applyFont="1" applyAlignment="1">
      <alignment horizontal="left" vertical="center"/>
    </xf>
    <xf numFmtId="0" fontId="0" fillId="0" borderId="5" xfId="0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165" fontId="0" fillId="4" borderId="2" xfId="1" applyNumberFormat="1" applyFont="1" applyFill="1" applyBorder="1" applyAlignment="1">
      <alignment horizontal="center" vertical="center"/>
    </xf>
    <xf numFmtId="3" fontId="0" fillId="4" borderId="2" xfId="1" applyNumberFormat="1" applyFont="1" applyFill="1" applyBorder="1" applyAlignment="1">
      <alignment horizontal="right" vertical="center"/>
    </xf>
    <xf numFmtId="3" fontId="0" fillId="0" borderId="2" xfId="1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9" fontId="0" fillId="0" borderId="2" xfId="0" applyNumberForma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quotePrefix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14" fillId="0" borderId="0" xfId="0" quotePrefix="1" applyFont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left" vertical="center"/>
    </xf>
    <xf numFmtId="0" fontId="3" fillId="2" borderId="8" xfId="0" quotePrefix="1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 wrapText="1"/>
    </xf>
    <xf numFmtId="0" fontId="3" fillId="2" borderId="10" xfId="0" quotePrefix="1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3" fontId="0" fillId="0" borderId="1" xfId="0" applyNumberFormat="1" applyBorder="1" applyAlignment="1">
      <alignment vertical="center"/>
    </xf>
    <xf numFmtId="0" fontId="0" fillId="7" borderId="9" xfId="0" applyFill="1" applyBorder="1" applyAlignment="1">
      <alignment vertical="center"/>
    </xf>
    <xf numFmtId="3" fontId="0" fillId="5" borderId="1" xfId="0" applyNumberForma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6" borderId="2" xfId="1" applyNumberFormat="1" applyFont="1" applyFill="1" applyBorder="1" applyAlignment="1">
      <alignment horizontal="left" vertical="center"/>
    </xf>
    <xf numFmtId="9" fontId="0" fillId="0" borderId="8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6" borderId="8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4" fillId="8" borderId="8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vertical="center"/>
    </xf>
    <xf numFmtId="164" fontId="4" fillId="6" borderId="2" xfId="1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9" fontId="0" fillId="0" borderId="11" xfId="0" applyNumberFormat="1" applyBorder="1" applyAlignment="1">
      <alignment vertical="center"/>
    </xf>
    <xf numFmtId="3" fontId="16" fillId="0" borderId="0" xfId="0" applyNumberFormat="1" applyFont="1" applyAlignment="1">
      <alignment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3" xfId="0" quotePrefix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4" fillId="4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9E1D-B268-4990-BA6E-292EE05E24D4}">
  <sheetPr>
    <tabColor theme="1"/>
  </sheetPr>
  <dimension ref="A1:M48"/>
  <sheetViews>
    <sheetView showGridLines="0" tabSelected="1" zoomScale="70" zoomScaleNormal="70" workbookViewId="0">
      <selection activeCell="J11" sqref="J11"/>
    </sheetView>
  </sheetViews>
  <sheetFormatPr defaultColWidth="10.81640625" defaultRowHeight="15" x14ac:dyDescent="0.25"/>
  <cols>
    <col min="1" max="1" width="29.54296875" style="1" bestFit="1" customWidth="1"/>
    <col min="2" max="3" width="11.54296875" style="1" bestFit="1" customWidth="1"/>
    <col min="4" max="4" width="29.90625" style="1" customWidth="1"/>
    <col min="5" max="5" width="12.08984375" style="1" bestFit="1" customWidth="1"/>
    <col min="6" max="6" width="12.453125" style="1" bestFit="1" customWidth="1"/>
    <col min="7" max="7" width="11.81640625" style="1" bestFit="1" customWidth="1"/>
    <col min="8" max="8" width="3.36328125" style="67" customWidth="1"/>
    <col min="9" max="11" width="10.81640625" style="2" customWidth="1"/>
    <col min="12" max="12" width="13.36328125" style="1" bestFit="1" customWidth="1"/>
    <col min="13" max="13" width="3.36328125" style="67" customWidth="1"/>
    <col min="14" max="16384" width="10.81640625" style="1"/>
  </cols>
  <sheetData>
    <row r="1" spans="1:13" s="4" customFormat="1" ht="50.1" customHeight="1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56" t="s">
        <v>228</v>
      </c>
      <c r="G1" s="60" t="s">
        <v>229</v>
      </c>
      <c r="H1" s="62"/>
      <c r="I1" s="61" t="s">
        <v>218</v>
      </c>
      <c r="J1" s="7" t="s">
        <v>216</v>
      </c>
      <c r="K1" s="56" t="s">
        <v>217</v>
      </c>
      <c r="L1" s="56" t="s">
        <v>209</v>
      </c>
      <c r="M1" s="63"/>
    </row>
    <row r="2" spans="1:13" x14ac:dyDescent="0.25">
      <c r="A2" s="6" t="s">
        <v>52</v>
      </c>
      <c r="B2" s="6" t="s">
        <v>53</v>
      </c>
      <c r="C2" s="6" t="s">
        <v>54</v>
      </c>
      <c r="D2" s="6" t="s">
        <v>55</v>
      </c>
      <c r="E2" s="6" t="s">
        <v>27</v>
      </c>
      <c r="F2" s="64">
        <v>194200000</v>
      </c>
      <c r="G2" s="64">
        <v>198084000</v>
      </c>
      <c r="H2" s="65"/>
      <c r="I2" s="73">
        <v>5007</v>
      </c>
      <c r="J2" s="74">
        <v>24545</v>
      </c>
      <c r="K2" s="74">
        <v>29552</v>
      </c>
      <c r="L2" s="66">
        <f t="shared" ref="L2:L42" si="0">F2/K2</f>
        <v>6571.4672441797511</v>
      </c>
    </row>
    <row r="3" spans="1:13" x14ac:dyDescent="0.25">
      <c r="A3" s="6" t="s">
        <v>64</v>
      </c>
      <c r="B3" s="6" t="s">
        <v>65</v>
      </c>
      <c r="C3" s="6" t="s">
        <v>66</v>
      </c>
      <c r="D3" s="6" t="s">
        <v>67</v>
      </c>
      <c r="E3" s="6" t="s">
        <v>27</v>
      </c>
      <c r="F3" s="64">
        <v>174472097.31</v>
      </c>
      <c r="G3" s="64">
        <v>177961539.25</v>
      </c>
      <c r="H3" s="65"/>
      <c r="I3" s="73">
        <v>0</v>
      </c>
      <c r="J3" s="74">
        <v>54908</v>
      </c>
      <c r="K3" s="74">
        <v>54908</v>
      </c>
      <c r="L3" s="66">
        <f t="shared" si="0"/>
        <v>3177.5351007139216</v>
      </c>
    </row>
    <row r="4" spans="1:13" x14ac:dyDescent="0.25">
      <c r="A4" s="6" t="s">
        <v>56</v>
      </c>
      <c r="B4" s="6" t="s">
        <v>57</v>
      </c>
      <c r="C4" s="6" t="s">
        <v>58</v>
      </c>
      <c r="D4" s="6" t="s">
        <v>59</v>
      </c>
      <c r="E4" s="6" t="s">
        <v>27</v>
      </c>
      <c r="F4" s="64">
        <v>185222950.75999999</v>
      </c>
      <c r="G4" s="64">
        <v>188927409.77000001</v>
      </c>
      <c r="H4" s="65"/>
      <c r="I4" s="73">
        <v>0</v>
      </c>
      <c r="J4" s="74">
        <v>35358</v>
      </c>
      <c r="K4" s="74">
        <v>35358</v>
      </c>
      <c r="L4" s="66">
        <f t="shared" si="0"/>
        <v>5238.501916397986</v>
      </c>
    </row>
    <row r="5" spans="1:13" x14ac:dyDescent="0.25">
      <c r="A5" s="68" t="s">
        <v>76</v>
      </c>
      <c r="B5" s="6" t="s">
        <v>77</v>
      </c>
      <c r="C5" s="6" t="s">
        <v>78</v>
      </c>
      <c r="D5" s="6" t="s">
        <v>79</v>
      </c>
      <c r="E5" s="6" t="s">
        <v>27</v>
      </c>
      <c r="F5" s="64">
        <f>158385034.35+161807674.43</f>
        <v>320192708.77999997</v>
      </c>
      <c r="G5" s="64">
        <f>161552735.03+165043827.91</f>
        <v>326596562.94</v>
      </c>
      <c r="H5" s="65"/>
      <c r="I5" s="73">
        <v>20000</v>
      </c>
      <c r="J5" s="74">
        <v>15823</v>
      </c>
      <c r="K5" s="74">
        <v>35823</v>
      </c>
      <c r="L5" s="66">
        <f t="shared" si="0"/>
        <v>8938.1880015632414</v>
      </c>
    </row>
    <row r="6" spans="1:13" x14ac:dyDescent="0.25">
      <c r="A6" s="6" t="s">
        <v>84</v>
      </c>
      <c r="B6" s="6" t="s">
        <v>85</v>
      </c>
      <c r="C6" s="6" t="s">
        <v>86</v>
      </c>
      <c r="D6" s="6" t="s">
        <v>87</v>
      </c>
      <c r="E6" s="6" t="s">
        <v>27</v>
      </c>
      <c r="F6" s="64">
        <v>149282604.63</v>
      </c>
      <c r="G6" s="64">
        <v>152268256.72</v>
      </c>
      <c r="H6" s="65"/>
      <c r="I6" s="73">
        <v>3146</v>
      </c>
      <c r="J6" s="74">
        <v>2098</v>
      </c>
      <c r="K6" s="74">
        <v>5244</v>
      </c>
      <c r="L6" s="66">
        <f t="shared" si="0"/>
        <v>28467.315909610985</v>
      </c>
    </row>
    <row r="7" spans="1:13" x14ac:dyDescent="0.25">
      <c r="A7" s="6" t="s">
        <v>180</v>
      </c>
      <c r="B7" s="6" t="s">
        <v>181</v>
      </c>
      <c r="C7" s="6" t="s">
        <v>182</v>
      </c>
      <c r="D7" s="6" t="s">
        <v>183</v>
      </c>
      <c r="E7" s="6" t="s">
        <v>27</v>
      </c>
      <c r="F7" s="64">
        <v>57501876.479999997</v>
      </c>
      <c r="G7" s="64">
        <v>57501876.479999997</v>
      </c>
      <c r="H7" s="65"/>
      <c r="I7" s="73">
        <v>7176</v>
      </c>
      <c r="J7" s="74">
        <v>0</v>
      </c>
      <c r="K7" s="74">
        <v>7176</v>
      </c>
      <c r="L7" s="66">
        <f t="shared" si="0"/>
        <v>8013.0820066889628</v>
      </c>
    </row>
    <row r="8" spans="1:13" x14ac:dyDescent="0.25">
      <c r="A8" s="6" t="s">
        <v>108</v>
      </c>
      <c r="B8" s="6" t="s">
        <v>109</v>
      </c>
      <c r="C8" s="6" t="s">
        <v>110</v>
      </c>
      <c r="D8" s="6" t="s">
        <v>111</v>
      </c>
      <c r="E8" s="6" t="s">
        <v>27</v>
      </c>
      <c r="F8" s="64">
        <v>135172277.93000001</v>
      </c>
      <c r="G8" s="64">
        <v>137875723.47999999</v>
      </c>
      <c r="H8" s="65"/>
      <c r="I8" s="73">
        <v>2416</v>
      </c>
      <c r="J8" s="74">
        <v>1611</v>
      </c>
      <c r="K8" s="74">
        <v>4027</v>
      </c>
      <c r="L8" s="66">
        <f t="shared" si="0"/>
        <v>33566.495636950589</v>
      </c>
    </row>
    <row r="9" spans="1:13" x14ac:dyDescent="0.25">
      <c r="A9" s="6" t="s">
        <v>108</v>
      </c>
      <c r="B9" s="6" t="s">
        <v>49</v>
      </c>
      <c r="C9" s="6" t="s">
        <v>50</v>
      </c>
      <c r="D9" s="6" t="s">
        <v>51</v>
      </c>
      <c r="E9" s="6" t="s">
        <v>27</v>
      </c>
      <c r="F9" s="64">
        <v>201732023.90000001</v>
      </c>
      <c r="G9" s="64">
        <v>201732023.90000001</v>
      </c>
      <c r="H9" s="65"/>
      <c r="I9" s="73">
        <v>1040</v>
      </c>
      <c r="J9" s="74">
        <v>5779</v>
      </c>
      <c r="K9" s="74">
        <v>6819</v>
      </c>
      <c r="L9" s="66">
        <f t="shared" si="0"/>
        <v>29583.813447719607</v>
      </c>
    </row>
    <row r="10" spans="1:13" x14ac:dyDescent="0.25">
      <c r="A10" s="6" t="s">
        <v>164</v>
      </c>
      <c r="B10" s="6" t="s">
        <v>165</v>
      </c>
      <c r="C10" s="6" t="s">
        <v>166</v>
      </c>
      <c r="D10" s="6" t="s">
        <v>167</v>
      </c>
      <c r="E10" s="6" t="s">
        <v>27</v>
      </c>
      <c r="F10" s="64">
        <v>61262302.670000002</v>
      </c>
      <c r="G10" s="64">
        <v>61262302.670000002</v>
      </c>
      <c r="H10" s="65"/>
      <c r="I10" s="73">
        <v>1222</v>
      </c>
      <c r="J10" s="74">
        <v>5991</v>
      </c>
      <c r="K10" s="74">
        <v>7213</v>
      </c>
      <c r="L10" s="66">
        <f t="shared" si="0"/>
        <v>8493.3179911271327</v>
      </c>
    </row>
    <row r="11" spans="1:13" x14ac:dyDescent="0.25">
      <c r="A11" s="6" t="s">
        <v>176</v>
      </c>
      <c r="B11" s="6" t="s">
        <v>177</v>
      </c>
      <c r="C11" s="6" t="s">
        <v>178</v>
      </c>
      <c r="D11" s="6" t="s">
        <v>179</v>
      </c>
      <c r="E11" s="6" t="s">
        <v>27</v>
      </c>
      <c r="F11" s="64">
        <v>57761767.700000003</v>
      </c>
      <c r="G11" s="64">
        <v>57761767.700000003</v>
      </c>
      <c r="H11" s="65"/>
      <c r="I11" s="73">
        <v>3901</v>
      </c>
      <c r="J11" s="74">
        <v>5865</v>
      </c>
      <c r="K11" s="74">
        <v>9766</v>
      </c>
      <c r="L11" s="66">
        <f t="shared" si="0"/>
        <v>5914.5778926889207</v>
      </c>
    </row>
    <row r="12" spans="1:13" x14ac:dyDescent="0.25">
      <c r="A12" s="6" t="s">
        <v>168</v>
      </c>
      <c r="B12" s="6" t="s">
        <v>169</v>
      </c>
      <c r="C12" s="6" t="s">
        <v>170</v>
      </c>
      <c r="D12" s="6" t="s">
        <v>171</v>
      </c>
      <c r="E12" s="6" t="s">
        <v>27</v>
      </c>
      <c r="F12" s="64">
        <v>60261142.579999998</v>
      </c>
      <c r="G12" s="64">
        <v>61466365.43</v>
      </c>
      <c r="H12" s="65"/>
      <c r="I12" s="73">
        <v>20585</v>
      </c>
      <c r="J12" s="74">
        <v>21625</v>
      </c>
      <c r="K12" s="74">
        <v>42210</v>
      </c>
      <c r="L12" s="66">
        <f t="shared" si="0"/>
        <v>1427.6508547737503</v>
      </c>
    </row>
    <row r="13" spans="1:13" x14ac:dyDescent="0.25">
      <c r="A13" s="6" t="s">
        <v>128</v>
      </c>
      <c r="B13" s="6" t="s">
        <v>129</v>
      </c>
      <c r="C13" s="6" t="s">
        <v>130</v>
      </c>
      <c r="D13" s="6" t="s">
        <v>131</v>
      </c>
      <c r="E13" s="6" t="s">
        <v>27</v>
      </c>
      <c r="F13" s="64">
        <v>105933202.53</v>
      </c>
      <c r="G13" s="64">
        <v>105933202.53</v>
      </c>
      <c r="H13" s="65"/>
      <c r="I13" s="73">
        <v>13260</v>
      </c>
      <c r="J13" s="74">
        <v>28105</v>
      </c>
      <c r="K13" s="74">
        <v>41365</v>
      </c>
      <c r="L13" s="66">
        <f t="shared" si="0"/>
        <v>2560.9380522180586</v>
      </c>
    </row>
    <row r="14" spans="1:13" x14ac:dyDescent="0.25">
      <c r="A14" s="6" t="s">
        <v>184</v>
      </c>
      <c r="B14" s="6" t="s">
        <v>185</v>
      </c>
      <c r="C14" s="6" t="s">
        <v>186</v>
      </c>
      <c r="D14" s="6" t="s">
        <v>187</v>
      </c>
      <c r="E14" s="6" t="s">
        <v>27</v>
      </c>
      <c r="F14" s="64">
        <v>30467706.5</v>
      </c>
      <c r="G14" s="64">
        <v>30467706.5</v>
      </c>
      <c r="H14" s="65"/>
      <c r="I14" s="73">
        <v>3655</v>
      </c>
      <c r="J14" s="74">
        <v>17919</v>
      </c>
      <c r="K14" s="74">
        <v>21574</v>
      </c>
      <c r="L14" s="66">
        <f t="shared" si="0"/>
        <v>1412.241888384166</v>
      </c>
    </row>
    <row r="15" spans="1:13" x14ac:dyDescent="0.25">
      <c r="A15" s="6" t="s">
        <v>100</v>
      </c>
      <c r="B15" s="6" t="s">
        <v>101</v>
      </c>
      <c r="C15" s="6" t="s">
        <v>102</v>
      </c>
      <c r="D15" s="6" t="s">
        <v>103</v>
      </c>
      <c r="E15" s="6" t="s">
        <v>27</v>
      </c>
      <c r="F15" s="64">
        <v>139601163.24000001</v>
      </c>
      <c r="G15" s="64">
        <v>142393186.5</v>
      </c>
      <c r="H15" s="65"/>
      <c r="I15" s="73">
        <v>21546</v>
      </c>
      <c r="J15" s="74">
        <v>28056</v>
      </c>
      <c r="K15" s="74">
        <v>49602</v>
      </c>
      <c r="L15" s="66">
        <f t="shared" si="0"/>
        <v>2814.4260965283661</v>
      </c>
    </row>
    <row r="16" spans="1:13" x14ac:dyDescent="0.25">
      <c r="A16" s="6" t="s">
        <v>36</v>
      </c>
      <c r="B16" s="6" t="s">
        <v>37</v>
      </c>
      <c r="C16" s="6" t="s">
        <v>38</v>
      </c>
      <c r="D16" s="6" t="s">
        <v>39</v>
      </c>
      <c r="E16" s="6" t="s">
        <v>27</v>
      </c>
      <c r="F16" s="64">
        <v>283639828.37</v>
      </c>
      <c r="G16" s="64">
        <v>289312624.93000001</v>
      </c>
      <c r="H16" s="65"/>
      <c r="I16" s="73">
        <v>0</v>
      </c>
      <c r="J16" s="74">
        <v>20522</v>
      </c>
      <c r="K16" s="74">
        <v>20522</v>
      </c>
      <c r="L16" s="66">
        <f t="shared" si="0"/>
        <v>13821.256620699736</v>
      </c>
    </row>
    <row r="17" spans="1:12" x14ac:dyDescent="0.25">
      <c r="A17" s="6" t="s">
        <v>148</v>
      </c>
      <c r="B17" s="6" t="s">
        <v>149</v>
      </c>
      <c r="C17" s="6" t="s">
        <v>150</v>
      </c>
      <c r="D17" s="6" t="s">
        <v>151</v>
      </c>
      <c r="E17" s="6" t="s">
        <v>27</v>
      </c>
      <c r="F17" s="64">
        <v>96134214.280000001</v>
      </c>
      <c r="G17" s="64">
        <v>96134214.280000001</v>
      </c>
      <c r="H17" s="65"/>
      <c r="I17" s="73">
        <v>3908</v>
      </c>
      <c r="J17" s="74">
        <v>9936</v>
      </c>
      <c r="K17" s="74">
        <v>13844</v>
      </c>
      <c r="L17" s="66">
        <f t="shared" si="0"/>
        <v>6944.106781277088</v>
      </c>
    </row>
    <row r="18" spans="1:12" x14ac:dyDescent="0.25">
      <c r="A18" s="6" t="s">
        <v>112</v>
      </c>
      <c r="B18" s="6" t="s">
        <v>113</v>
      </c>
      <c r="C18" s="6" t="s">
        <v>114</v>
      </c>
      <c r="D18" s="6" t="s">
        <v>115</v>
      </c>
      <c r="E18" s="6" t="s">
        <v>27</v>
      </c>
      <c r="F18" s="64">
        <v>130486144.65000001</v>
      </c>
      <c r="G18" s="64">
        <v>130486144.65000001</v>
      </c>
      <c r="H18" s="65"/>
      <c r="I18" s="73">
        <v>4955</v>
      </c>
      <c r="J18" s="74">
        <v>12595</v>
      </c>
      <c r="K18" s="74">
        <v>17550</v>
      </c>
      <c r="L18" s="66">
        <f t="shared" si="0"/>
        <v>7435.1079572649578</v>
      </c>
    </row>
    <row r="19" spans="1:12" x14ac:dyDescent="0.25">
      <c r="A19" s="6" t="s">
        <v>92</v>
      </c>
      <c r="B19" s="6" t="s">
        <v>93</v>
      </c>
      <c r="C19" s="6" t="s">
        <v>94</v>
      </c>
      <c r="D19" s="6" t="s">
        <v>95</v>
      </c>
      <c r="E19" s="6" t="s">
        <v>27</v>
      </c>
      <c r="F19" s="64">
        <v>145992301.15000001</v>
      </c>
      <c r="G19" s="64">
        <v>145992301.15000001</v>
      </c>
      <c r="H19" s="65"/>
      <c r="I19" s="73">
        <v>6995</v>
      </c>
      <c r="J19" s="74">
        <v>34292</v>
      </c>
      <c r="K19" s="74">
        <v>41287</v>
      </c>
      <c r="L19" s="66">
        <f t="shared" si="0"/>
        <v>3536.0355838399496</v>
      </c>
    </row>
    <row r="20" spans="1:12" x14ac:dyDescent="0.25">
      <c r="A20" s="6" t="s">
        <v>23</v>
      </c>
      <c r="B20" s="6" t="s">
        <v>24</v>
      </c>
      <c r="C20" s="6" t="s">
        <v>25</v>
      </c>
      <c r="D20" s="6" t="s">
        <v>26</v>
      </c>
      <c r="E20" s="6" t="s">
        <v>27</v>
      </c>
      <c r="F20" s="64">
        <v>326000000</v>
      </c>
      <c r="G20" s="64">
        <v>332520000</v>
      </c>
      <c r="H20" s="65"/>
      <c r="I20" s="73">
        <v>9576</v>
      </c>
      <c r="J20" s="74">
        <v>46945</v>
      </c>
      <c r="K20" s="74">
        <v>56521</v>
      </c>
      <c r="L20" s="66">
        <f t="shared" si="0"/>
        <v>5767.767732347269</v>
      </c>
    </row>
    <row r="21" spans="1:12" x14ac:dyDescent="0.25">
      <c r="A21" s="6" t="s">
        <v>40</v>
      </c>
      <c r="B21" s="6" t="s">
        <v>41</v>
      </c>
      <c r="C21" s="6" t="s">
        <v>42</v>
      </c>
      <c r="D21" s="6" t="s">
        <v>43</v>
      </c>
      <c r="E21" s="6" t="s">
        <v>27</v>
      </c>
      <c r="F21" s="64">
        <v>270000078.79000002</v>
      </c>
      <c r="G21" s="64">
        <v>275400080.37</v>
      </c>
      <c r="H21" s="65"/>
      <c r="I21" s="73">
        <v>16703</v>
      </c>
      <c r="J21" s="74">
        <v>27351</v>
      </c>
      <c r="K21" s="74">
        <v>44054</v>
      </c>
      <c r="L21" s="66">
        <f t="shared" si="0"/>
        <v>6128.84366436646</v>
      </c>
    </row>
    <row r="22" spans="1:12" x14ac:dyDescent="0.25">
      <c r="A22" s="6" t="s">
        <v>96</v>
      </c>
      <c r="B22" s="6" t="s">
        <v>97</v>
      </c>
      <c r="C22" s="6" t="s">
        <v>98</v>
      </c>
      <c r="D22" s="6" t="s">
        <v>99</v>
      </c>
      <c r="E22" s="6" t="s">
        <v>27</v>
      </c>
      <c r="F22" s="64">
        <v>140883034.69</v>
      </c>
      <c r="G22" s="64">
        <v>143700695.38</v>
      </c>
      <c r="H22" s="65"/>
      <c r="I22" s="73">
        <v>16500</v>
      </c>
      <c r="J22" s="74">
        <v>10497</v>
      </c>
      <c r="K22" s="74">
        <v>26997</v>
      </c>
      <c r="L22" s="66">
        <f t="shared" si="0"/>
        <v>5218.4700037041148</v>
      </c>
    </row>
    <row r="23" spans="1:12" x14ac:dyDescent="0.25">
      <c r="A23" s="6" t="s">
        <v>68</v>
      </c>
      <c r="B23" s="6" t="s">
        <v>69</v>
      </c>
      <c r="C23" s="6" t="s">
        <v>70</v>
      </c>
      <c r="D23" s="6" t="s">
        <v>71</v>
      </c>
      <c r="E23" s="6" t="s">
        <v>27</v>
      </c>
      <c r="F23" s="64">
        <v>176154004.46000001</v>
      </c>
      <c r="G23" s="64">
        <v>179677084.53999999</v>
      </c>
      <c r="H23" s="65"/>
      <c r="I23" s="73">
        <v>10327</v>
      </c>
      <c r="J23" s="74">
        <v>50622</v>
      </c>
      <c r="K23" s="74">
        <v>60949</v>
      </c>
      <c r="L23" s="66">
        <f t="shared" si="0"/>
        <v>2890.1869507292986</v>
      </c>
    </row>
    <row r="24" spans="1:12" x14ac:dyDescent="0.25">
      <c r="A24" s="6" t="s">
        <v>156</v>
      </c>
      <c r="B24" s="6" t="s">
        <v>157</v>
      </c>
      <c r="C24" s="6" t="s">
        <v>158</v>
      </c>
      <c r="D24" s="6" t="s">
        <v>159</v>
      </c>
      <c r="E24" s="6" t="s">
        <v>27</v>
      </c>
      <c r="F24" s="64">
        <v>77400978.75</v>
      </c>
      <c r="G24" s="64">
        <v>77400978.75</v>
      </c>
      <c r="H24" s="65"/>
      <c r="I24" s="73">
        <v>4079</v>
      </c>
      <c r="J24" s="74">
        <v>19994</v>
      </c>
      <c r="K24" s="74">
        <v>24073</v>
      </c>
      <c r="L24" s="66">
        <f t="shared" si="0"/>
        <v>3215.2610289535996</v>
      </c>
    </row>
    <row r="25" spans="1:12" x14ac:dyDescent="0.25">
      <c r="A25" s="6" t="s">
        <v>152</v>
      </c>
      <c r="B25" s="6" t="s">
        <v>153</v>
      </c>
      <c r="C25" s="6" t="s">
        <v>154</v>
      </c>
      <c r="D25" s="6" t="s">
        <v>155</v>
      </c>
      <c r="E25" s="6" t="s">
        <v>27</v>
      </c>
      <c r="F25" s="64">
        <v>93812544</v>
      </c>
      <c r="G25" s="64">
        <v>95688794.879999995</v>
      </c>
      <c r="H25" s="65"/>
      <c r="I25" s="73">
        <v>5104</v>
      </c>
      <c r="J25" s="74">
        <v>25019</v>
      </c>
      <c r="K25" s="74">
        <v>30123</v>
      </c>
      <c r="L25" s="66">
        <f t="shared" si="0"/>
        <v>3114.3161039737079</v>
      </c>
    </row>
    <row r="26" spans="1:12" x14ac:dyDescent="0.25">
      <c r="A26" s="6" t="s">
        <v>172</v>
      </c>
      <c r="B26" s="6" t="s">
        <v>173</v>
      </c>
      <c r="C26" s="6" t="s">
        <v>174</v>
      </c>
      <c r="D26" s="6" t="s">
        <v>175</v>
      </c>
      <c r="E26" s="6" t="s">
        <v>27</v>
      </c>
      <c r="F26" s="64">
        <v>58264370.009999998</v>
      </c>
      <c r="G26" s="64">
        <v>59429657.409999996</v>
      </c>
      <c r="H26" s="65"/>
      <c r="I26" s="73">
        <v>4878</v>
      </c>
      <c r="J26" s="74">
        <v>32648</v>
      </c>
      <c r="K26" s="74">
        <v>37526</v>
      </c>
      <c r="L26" s="66">
        <f t="shared" si="0"/>
        <v>1552.640036508021</v>
      </c>
    </row>
    <row r="27" spans="1:12" x14ac:dyDescent="0.25">
      <c r="A27" s="6" t="s">
        <v>80</v>
      </c>
      <c r="B27" s="6" t="s">
        <v>81</v>
      </c>
      <c r="C27" s="6" t="s">
        <v>82</v>
      </c>
      <c r="D27" s="6" t="s">
        <v>83</v>
      </c>
      <c r="E27" s="6" t="s">
        <v>27</v>
      </c>
      <c r="F27" s="64">
        <v>156239196.99000001</v>
      </c>
      <c r="G27" s="64">
        <v>159363980.91999999</v>
      </c>
      <c r="H27" s="65"/>
      <c r="I27" s="73">
        <v>6637</v>
      </c>
      <c r="J27" s="74">
        <v>32538</v>
      </c>
      <c r="K27" s="74">
        <v>39175</v>
      </c>
      <c r="L27" s="66">
        <f t="shared" si="0"/>
        <v>3988.237319463944</v>
      </c>
    </row>
    <row r="28" spans="1:12" x14ac:dyDescent="0.25">
      <c r="A28" s="6" t="s">
        <v>32</v>
      </c>
      <c r="B28" s="6" t="s">
        <v>33</v>
      </c>
      <c r="C28" s="6" t="s">
        <v>34</v>
      </c>
      <c r="D28" s="6" t="s">
        <v>35</v>
      </c>
      <c r="E28" s="6" t="s">
        <v>27</v>
      </c>
      <c r="F28" s="64">
        <v>292877374.89999998</v>
      </c>
      <c r="G28" s="64">
        <v>298734922.38999999</v>
      </c>
      <c r="H28" s="65"/>
      <c r="I28" s="73">
        <v>10000</v>
      </c>
      <c r="J28" s="74">
        <v>14981</v>
      </c>
      <c r="K28" s="74">
        <v>24981</v>
      </c>
      <c r="L28" s="66">
        <f t="shared" si="0"/>
        <v>11724.005239982385</v>
      </c>
    </row>
    <row r="29" spans="1:12" x14ac:dyDescent="0.25">
      <c r="A29" s="6" t="s">
        <v>104</v>
      </c>
      <c r="B29" s="6" t="s">
        <v>105</v>
      </c>
      <c r="C29" s="6" t="s">
        <v>106</v>
      </c>
      <c r="D29" s="6" t="s">
        <v>107</v>
      </c>
      <c r="E29" s="6" t="s">
        <v>27</v>
      </c>
      <c r="F29" s="64">
        <v>135652495.84</v>
      </c>
      <c r="G29" s="64">
        <v>138365545.75</v>
      </c>
      <c r="H29" s="65"/>
      <c r="I29" s="73">
        <v>4656</v>
      </c>
      <c r="J29" s="74">
        <v>12376</v>
      </c>
      <c r="K29" s="74">
        <v>17032</v>
      </c>
      <c r="L29" s="66">
        <f t="shared" si="0"/>
        <v>7964.5664537341481</v>
      </c>
    </row>
    <row r="30" spans="1:12" x14ac:dyDescent="0.25">
      <c r="A30" s="6" t="s">
        <v>28</v>
      </c>
      <c r="B30" s="6" t="s">
        <v>29</v>
      </c>
      <c r="C30" s="6" t="s">
        <v>30</v>
      </c>
      <c r="D30" s="6" t="s">
        <v>31</v>
      </c>
      <c r="E30" s="6" t="s">
        <v>27</v>
      </c>
      <c r="F30" s="64">
        <v>329958259.80000001</v>
      </c>
      <c r="G30" s="64">
        <v>329958259.80000001</v>
      </c>
      <c r="H30" s="65"/>
      <c r="I30" s="73">
        <v>5934</v>
      </c>
      <c r="J30" s="74">
        <v>15086</v>
      </c>
      <c r="K30" s="74">
        <v>21020</v>
      </c>
      <c r="L30" s="66">
        <f t="shared" si="0"/>
        <v>15697.348230256899</v>
      </c>
    </row>
    <row r="31" spans="1:12" x14ac:dyDescent="0.25">
      <c r="A31" s="6" t="s">
        <v>60</v>
      </c>
      <c r="B31" s="6" t="s">
        <v>61</v>
      </c>
      <c r="C31" s="6" t="s">
        <v>62</v>
      </c>
      <c r="D31" s="6" t="s">
        <v>63</v>
      </c>
      <c r="E31" s="6" t="s">
        <v>27</v>
      </c>
      <c r="F31" s="64">
        <v>183907637.58000001</v>
      </c>
      <c r="G31" s="64">
        <v>183907637.58000001</v>
      </c>
      <c r="H31" s="65"/>
      <c r="I31" s="73">
        <v>5000</v>
      </c>
      <c r="J31" s="74">
        <v>24509</v>
      </c>
      <c r="K31" s="74">
        <v>29509</v>
      </c>
      <c r="L31" s="66">
        <f t="shared" si="0"/>
        <v>6232.2558399132477</v>
      </c>
    </row>
    <row r="32" spans="1:12" x14ac:dyDescent="0.25">
      <c r="A32" s="6" t="s">
        <v>160</v>
      </c>
      <c r="B32" s="6" t="s">
        <v>161</v>
      </c>
      <c r="C32" s="6" t="s">
        <v>162</v>
      </c>
      <c r="D32" s="6" t="s">
        <v>163</v>
      </c>
      <c r="E32" s="6" t="s">
        <v>27</v>
      </c>
      <c r="F32" s="64">
        <v>74273985.590000004</v>
      </c>
      <c r="G32" s="64">
        <v>75759465.299999997</v>
      </c>
      <c r="H32" s="65"/>
      <c r="I32" s="73">
        <v>1991</v>
      </c>
      <c r="J32" s="74">
        <v>9762</v>
      </c>
      <c r="K32" s="74">
        <v>11753</v>
      </c>
      <c r="L32" s="66">
        <f t="shared" si="0"/>
        <v>6319.5767540202505</v>
      </c>
    </row>
    <row r="33" spans="1:12" x14ac:dyDescent="0.25">
      <c r="A33" s="6" t="s">
        <v>120</v>
      </c>
      <c r="B33" s="6" t="s">
        <v>121</v>
      </c>
      <c r="C33" s="6" t="s">
        <v>122</v>
      </c>
      <c r="D33" s="6" t="s">
        <v>123</v>
      </c>
      <c r="E33" s="6" t="s">
        <v>27</v>
      </c>
      <c r="F33" s="64">
        <v>110000008.23</v>
      </c>
      <c r="G33" s="64">
        <v>112200008.23</v>
      </c>
      <c r="H33" s="65"/>
      <c r="I33" s="73">
        <v>15000</v>
      </c>
      <c r="J33" s="74">
        <v>24252</v>
      </c>
      <c r="K33" s="74">
        <v>39252</v>
      </c>
      <c r="L33" s="66">
        <f t="shared" si="0"/>
        <v>2802.4051826658515</v>
      </c>
    </row>
    <row r="34" spans="1:12" x14ac:dyDescent="0.25">
      <c r="A34" s="6" t="s">
        <v>132</v>
      </c>
      <c r="B34" s="6" t="s">
        <v>133</v>
      </c>
      <c r="C34" s="6" t="s">
        <v>134</v>
      </c>
      <c r="D34" s="6" t="s">
        <v>135</v>
      </c>
      <c r="E34" s="6" t="s">
        <v>27</v>
      </c>
      <c r="F34" s="64">
        <v>104498053.12</v>
      </c>
      <c r="G34" s="64">
        <v>104498053.12</v>
      </c>
      <c r="H34" s="65"/>
      <c r="I34" s="73">
        <v>7007</v>
      </c>
      <c r="J34" s="74">
        <v>0</v>
      </c>
      <c r="K34" s="74">
        <v>7007</v>
      </c>
      <c r="L34" s="66">
        <f t="shared" si="0"/>
        <v>14913.379922934209</v>
      </c>
    </row>
    <row r="35" spans="1:12" x14ac:dyDescent="0.25">
      <c r="A35" s="6" t="s">
        <v>124</v>
      </c>
      <c r="B35" s="6" t="s">
        <v>125</v>
      </c>
      <c r="C35" s="6" t="s">
        <v>126</v>
      </c>
      <c r="D35" s="6" t="s">
        <v>127</v>
      </c>
      <c r="E35" s="6" t="s">
        <v>27</v>
      </c>
      <c r="F35" s="64">
        <v>107849555.79000001</v>
      </c>
      <c r="G35" s="64">
        <v>107849555.79000001</v>
      </c>
      <c r="H35" s="65"/>
      <c r="I35" s="73">
        <v>4211</v>
      </c>
      <c r="J35" s="74">
        <v>20643</v>
      </c>
      <c r="K35" s="74">
        <v>24854</v>
      </c>
      <c r="L35" s="66">
        <f t="shared" si="0"/>
        <v>4339.3238830771706</v>
      </c>
    </row>
    <row r="36" spans="1:12" x14ac:dyDescent="0.25">
      <c r="A36" s="6" t="s">
        <v>44</v>
      </c>
      <c r="B36" s="6" t="s">
        <v>45</v>
      </c>
      <c r="C36" s="6" t="s">
        <v>46</v>
      </c>
      <c r="D36" s="6" t="s">
        <v>47</v>
      </c>
      <c r="E36" s="6" t="s">
        <v>27</v>
      </c>
      <c r="F36" s="64">
        <v>263030689.66999999</v>
      </c>
      <c r="G36" s="64">
        <v>263030689.66999999</v>
      </c>
      <c r="H36" s="65"/>
      <c r="I36" s="73">
        <v>7306</v>
      </c>
      <c r="J36" s="74">
        <v>35817</v>
      </c>
      <c r="K36" s="74">
        <v>43123</v>
      </c>
      <c r="L36" s="66">
        <f t="shared" si="0"/>
        <v>6099.5452466201332</v>
      </c>
    </row>
    <row r="37" spans="1:12" x14ac:dyDescent="0.25">
      <c r="A37" s="6" t="s">
        <v>116</v>
      </c>
      <c r="B37" s="6" t="s">
        <v>117</v>
      </c>
      <c r="C37" s="6" t="s">
        <v>118</v>
      </c>
      <c r="D37" s="6" t="s">
        <v>119</v>
      </c>
      <c r="E37" s="6" t="s">
        <v>27</v>
      </c>
      <c r="F37" s="64">
        <v>111945430.81</v>
      </c>
      <c r="G37" s="64">
        <v>111945430.81</v>
      </c>
      <c r="H37" s="65"/>
      <c r="I37" s="73">
        <v>5431</v>
      </c>
      <c r="J37" s="74">
        <v>26626</v>
      </c>
      <c r="K37" s="74">
        <v>32057</v>
      </c>
      <c r="L37" s="66">
        <f t="shared" si="0"/>
        <v>3492.0744551891944</v>
      </c>
    </row>
    <row r="38" spans="1:12" x14ac:dyDescent="0.25">
      <c r="A38" s="6" t="s">
        <v>88</v>
      </c>
      <c r="B38" s="6" t="s">
        <v>89</v>
      </c>
      <c r="C38" s="6" t="s">
        <v>90</v>
      </c>
      <c r="D38" s="6" t="s">
        <v>91</v>
      </c>
      <c r="E38" s="6" t="s">
        <v>27</v>
      </c>
      <c r="F38" s="64">
        <v>145505569.19</v>
      </c>
      <c r="G38" s="64">
        <v>148415680.56999999</v>
      </c>
      <c r="H38" s="65"/>
      <c r="I38" s="73">
        <v>1045</v>
      </c>
      <c r="J38" s="74">
        <v>5126</v>
      </c>
      <c r="K38" s="74">
        <v>6171</v>
      </c>
      <c r="L38" s="66">
        <f t="shared" si="0"/>
        <v>23578.928729541403</v>
      </c>
    </row>
    <row r="39" spans="1:12" x14ac:dyDescent="0.25">
      <c r="A39" s="6" t="s">
        <v>144</v>
      </c>
      <c r="B39" s="6" t="s">
        <v>145</v>
      </c>
      <c r="C39" s="6" t="s">
        <v>146</v>
      </c>
      <c r="D39" s="6" t="s">
        <v>147</v>
      </c>
      <c r="E39" s="6" t="s">
        <v>27</v>
      </c>
      <c r="F39" s="64">
        <v>96259818.150000006</v>
      </c>
      <c r="G39" s="64">
        <v>96259818.150000006</v>
      </c>
      <c r="H39" s="65"/>
      <c r="I39" s="73">
        <v>797</v>
      </c>
      <c r="J39" s="74">
        <v>4515</v>
      </c>
      <c r="K39" s="74">
        <v>5312</v>
      </c>
      <c r="L39" s="66">
        <f t="shared" si="0"/>
        <v>18121.200705948795</v>
      </c>
    </row>
    <row r="40" spans="1:12" x14ac:dyDescent="0.25">
      <c r="A40" s="6" t="s">
        <v>140</v>
      </c>
      <c r="B40" s="6" t="s">
        <v>141</v>
      </c>
      <c r="C40" s="6" t="s">
        <v>142</v>
      </c>
      <c r="D40" s="6" t="s">
        <v>143</v>
      </c>
      <c r="E40" s="6" t="s">
        <v>27</v>
      </c>
      <c r="F40" s="64">
        <v>98645359.079999998</v>
      </c>
      <c r="G40" s="64">
        <v>98645359.079999998</v>
      </c>
      <c r="H40" s="65"/>
      <c r="I40" s="73">
        <v>388</v>
      </c>
      <c r="J40" s="74">
        <v>2197</v>
      </c>
      <c r="K40" s="74">
        <v>2585</v>
      </c>
      <c r="L40" s="66">
        <f t="shared" si="0"/>
        <v>38160.680495164408</v>
      </c>
    </row>
    <row r="41" spans="1:12" x14ac:dyDescent="0.25">
      <c r="A41" s="6" t="s">
        <v>136</v>
      </c>
      <c r="B41" s="6" t="s">
        <v>137</v>
      </c>
      <c r="C41" s="6" t="s">
        <v>138</v>
      </c>
      <c r="D41" s="6" t="s">
        <v>139</v>
      </c>
      <c r="E41" s="6" t="s">
        <v>27</v>
      </c>
      <c r="F41" s="64">
        <v>100000000.02</v>
      </c>
      <c r="G41" s="64">
        <v>100000000.02</v>
      </c>
      <c r="H41" s="65"/>
      <c r="I41" s="73">
        <v>2386</v>
      </c>
      <c r="J41" s="74">
        <v>3547</v>
      </c>
      <c r="K41" s="74">
        <v>5933</v>
      </c>
      <c r="L41" s="66">
        <f t="shared" si="0"/>
        <v>16854.879490982639</v>
      </c>
    </row>
    <row r="42" spans="1:12" x14ac:dyDescent="0.25">
      <c r="A42" s="6" t="s">
        <v>72</v>
      </c>
      <c r="B42" s="6" t="s">
        <v>73</v>
      </c>
      <c r="C42" s="6" t="s">
        <v>74</v>
      </c>
      <c r="D42" s="6" t="s">
        <v>75</v>
      </c>
      <c r="E42" s="6" t="s">
        <v>27</v>
      </c>
      <c r="F42" s="64">
        <v>175919603.52000001</v>
      </c>
      <c r="G42" s="64">
        <v>175919603.52000001</v>
      </c>
      <c r="H42" s="65"/>
      <c r="I42" s="73">
        <v>0</v>
      </c>
      <c r="J42" s="74">
        <v>47744</v>
      </c>
      <c r="K42" s="74">
        <v>47744</v>
      </c>
      <c r="L42" s="66">
        <f t="shared" si="0"/>
        <v>3684.643170241287</v>
      </c>
    </row>
    <row r="43" spans="1:12" x14ac:dyDescent="0.25">
      <c r="F43" s="2"/>
      <c r="I43" s="75"/>
      <c r="J43" s="75"/>
      <c r="K43" s="75"/>
      <c r="L43" s="2"/>
    </row>
    <row r="44" spans="1:12" ht="31.2" x14ac:dyDescent="0.25">
      <c r="F44" s="2"/>
      <c r="I44" s="75"/>
      <c r="J44" s="75"/>
      <c r="K44" s="75"/>
      <c r="L44" s="56" t="s">
        <v>233</v>
      </c>
    </row>
    <row r="45" spans="1:12" x14ac:dyDescent="0.25">
      <c r="F45" s="2"/>
      <c r="I45" s="75"/>
      <c r="J45" s="75"/>
      <c r="K45" s="75"/>
      <c r="L45" s="2"/>
    </row>
    <row r="46" spans="1:12" ht="15.6" x14ac:dyDescent="0.25">
      <c r="E46" s="69" t="s">
        <v>188</v>
      </c>
      <c r="F46" s="70">
        <f>SUM(F2:F42)</f>
        <v>6158394362.4400005</v>
      </c>
      <c r="I46" s="75">
        <f t="shared" ref="I46:J46" si="1">SUM(I2:I42)</f>
        <v>263768</v>
      </c>
      <c r="J46" s="75">
        <f t="shared" si="1"/>
        <v>817823</v>
      </c>
      <c r="K46" s="75">
        <f>SUM(K2:K42)</f>
        <v>1081591</v>
      </c>
      <c r="L46" s="70">
        <f>F46/K46</f>
        <v>5693.8291483934318</v>
      </c>
    </row>
    <row r="47" spans="1:12" x14ac:dyDescent="0.25">
      <c r="F47" s="2"/>
    </row>
    <row r="48" spans="1:12" x14ac:dyDescent="0.25">
      <c r="A48" s="71" t="s">
        <v>189</v>
      </c>
      <c r="B48" s="71" t="s">
        <v>190</v>
      </c>
      <c r="C48" s="71" t="s">
        <v>191</v>
      </c>
      <c r="D48" s="71" t="s">
        <v>192</v>
      </c>
      <c r="E48" s="71" t="s">
        <v>27</v>
      </c>
      <c r="F48" s="72">
        <v>161807674.43000001</v>
      </c>
      <c r="G48" s="71">
        <v>165043827.91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B2:C44 B48:C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583C-A16B-4503-9857-36F058596030}">
  <sheetPr>
    <tabColor theme="1"/>
  </sheetPr>
  <dimension ref="B2:F9"/>
  <sheetViews>
    <sheetView showGridLines="0" zoomScaleNormal="100" workbookViewId="0"/>
  </sheetViews>
  <sheetFormatPr defaultColWidth="10.81640625" defaultRowHeight="15" x14ac:dyDescent="0.25"/>
  <cols>
    <col min="1" max="1" width="3.36328125" style="1" customWidth="1"/>
    <col min="2" max="2" width="26.36328125" style="1" bestFit="1" customWidth="1"/>
    <col min="3" max="6" width="15.81640625" style="1" customWidth="1"/>
    <col min="7" max="7" width="3.36328125" style="1" customWidth="1"/>
    <col min="8" max="16384" width="10.81640625" style="1"/>
  </cols>
  <sheetData>
    <row r="2" spans="2:6" ht="15.6" x14ac:dyDescent="0.25">
      <c r="B2" s="83" t="s">
        <v>256</v>
      </c>
      <c r="C2" s="83" t="s">
        <v>247</v>
      </c>
      <c r="D2" s="83" t="s">
        <v>248</v>
      </c>
      <c r="E2" s="83" t="s">
        <v>249</v>
      </c>
      <c r="F2" s="83" t="s">
        <v>188</v>
      </c>
    </row>
    <row r="3" spans="2:6" x14ac:dyDescent="0.25">
      <c r="B3" s="6" t="s">
        <v>250</v>
      </c>
      <c r="C3" s="64">
        <v>64964877.761900812</v>
      </c>
      <c r="D3" s="64">
        <v>85909007.887216002</v>
      </c>
      <c r="E3" s="64">
        <v>225896029.98398396</v>
      </c>
      <c r="F3" s="64">
        <v>376769915.63310075</v>
      </c>
    </row>
    <row r="4" spans="2:6" x14ac:dyDescent="0.25">
      <c r="B4" s="6" t="s">
        <v>251</v>
      </c>
      <c r="C4" s="64">
        <v>13587890.038177121</v>
      </c>
      <c r="D4" s="64">
        <v>24149628.233616002</v>
      </c>
      <c r="E4" s="64">
        <v>47310485.646660008</v>
      </c>
      <c r="F4" s="64">
        <v>85048003.918453127</v>
      </c>
    </row>
    <row r="5" spans="2:6" x14ac:dyDescent="0.25">
      <c r="B5" s="6" t="s">
        <v>252</v>
      </c>
      <c r="C5" s="64">
        <v>134083394.99928455</v>
      </c>
      <c r="D5" s="64">
        <v>62647726.46098426</v>
      </c>
      <c r="E5" s="64">
        <v>39055414.112031154</v>
      </c>
      <c r="F5" s="64">
        <v>235786535.57229996</v>
      </c>
    </row>
    <row r="6" spans="2:6" x14ac:dyDescent="0.25">
      <c r="B6" s="6" t="s">
        <v>253</v>
      </c>
      <c r="C6" s="64">
        <v>46486773.023983374</v>
      </c>
      <c r="D6" s="64">
        <v>21719200.095396325</v>
      </c>
      <c r="E6" s="64">
        <v>13408971.451420302</v>
      </c>
      <c r="F6" s="64">
        <v>81614944.570800006</v>
      </c>
    </row>
    <row r="7" spans="2:6" x14ac:dyDescent="0.25">
      <c r="B7" s="6" t="s">
        <v>254</v>
      </c>
      <c r="C7" s="64">
        <v>30537417.018082425</v>
      </c>
      <c r="D7" s="64">
        <v>18090152.835058302</v>
      </c>
      <c r="E7" s="64">
        <v>10429617.30675927</v>
      </c>
      <c r="F7" s="64">
        <v>59057187.159899995</v>
      </c>
    </row>
    <row r="8" spans="2:6" x14ac:dyDescent="0.25">
      <c r="B8" s="6" t="s">
        <v>188</v>
      </c>
      <c r="C8" s="64">
        <f>SUM(C3:C7)</f>
        <v>289660352.84142828</v>
      </c>
      <c r="D8" s="64">
        <f>SUM(D3:D7)</f>
        <v>212515715.5122709</v>
      </c>
      <c r="E8" s="64">
        <f>SUM(E3:E7)</f>
        <v>336100518.50085473</v>
      </c>
      <c r="F8" s="64">
        <f>SUM(F3:F7)</f>
        <v>838276586.8545537</v>
      </c>
    </row>
    <row r="9" spans="2:6" ht="15.6" x14ac:dyDescent="0.25">
      <c r="B9" s="86" t="s">
        <v>255</v>
      </c>
      <c r="C9" s="87">
        <f>C8/$F$8</f>
        <v>0.34554269722397268</v>
      </c>
      <c r="D9" s="87">
        <f>D8/$F$8</f>
        <v>0.25351503172680606</v>
      </c>
      <c r="E9" s="87">
        <f>E8/$F$8</f>
        <v>0.40094227104922148</v>
      </c>
      <c r="F9" s="87">
        <v>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6526-9158-45DB-AB8C-53F9E96EAF61}">
  <sheetPr>
    <tabColor theme="1"/>
  </sheetPr>
  <dimension ref="B2:B70"/>
  <sheetViews>
    <sheetView showGridLines="0" zoomScale="150" zoomScaleNormal="150" workbookViewId="0"/>
  </sheetViews>
  <sheetFormatPr defaultColWidth="10.81640625" defaultRowHeight="20.100000000000001" customHeight="1" x14ac:dyDescent="0.25"/>
  <cols>
    <col min="1" max="1" width="3.36328125" style="1" customWidth="1"/>
    <col min="2" max="16384" width="10.81640625" style="1"/>
  </cols>
  <sheetData>
    <row r="2" spans="2:2" ht="20.100000000000001" customHeight="1" x14ac:dyDescent="0.25">
      <c r="B2" s="20" t="s">
        <v>201</v>
      </c>
    </row>
    <row r="4" spans="2:2" ht="20.100000000000001" customHeight="1" x14ac:dyDescent="0.25">
      <c r="B4" s="21" t="s">
        <v>14</v>
      </c>
    </row>
    <row r="6" spans="2:2" ht="20.100000000000001" customHeight="1" x14ac:dyDescent="0.25">
      <c r="B6" s="8" t="s">
        <v>243</v>
      </c>
    </row>
    <row r="8" spans="2:2" ht="20.100000000000001" customHeight="1" x14ac:dyDescent="0.25">
      <c r="B8" s="22" t="s">
        <v>15</v>
      </c>
    </row>
    <row r="10" spans="2:2" ht="20.100000000000001" customHeight="1" x14ac:dyDescent="0.25">
      <c r="B10" s="8" t="s">
        <v>243</v>
      </c>
    </row>
    <row r="11" spans="2:2" ht="20.100000000000001" customHeight="1" x14ac:dyDescent="0.25">
      <c r="B11" s="8" t="s">
        <v>202</v>
      </c>
    </row>
    <row r="13" spans="2:2" ht="20.100000000000001" customHeight="1" x14ac:dyDescent="0.25">
      <c r="B13" s="22" t="s">
        <v>16</v>
      </c>
    </row>
    <row r="15" spans="2:2" ht="20.100000000000001" customHeight="1" x14ac:dyDescent="0.25">
      <c r="B15" s="8" t="s">
        <v>243</v>
      </c>
    </row>
    <row r="16" spans="2:2" ht="20.100000000000001" customHeight="1" x14ac:dyDescent="0.25">
      <c r="B16" s="8" t="s">
        <v>203</v>
      </c>
    </row>
    <row r="18" spans="2:2" ht="20.100000000000001" customHeight="1" x14ac:dyDescent="0.25">
      <c r="B18" s="23" t="s">
        <v>204</v>
      </c>
    </row>
    <row r="20" spans="2:2" ht="20.100000000000001" customHeight="1" x14ac:dyDescent="0.25">
      <c r="B20" s="24" t="s">
        <v>14</v>
      </c>
    </row>
    <row r="22" spans="2:2" ht="20.100000000000001" customHeight="1" x14ac:dyDescent="0.25">
      <c r="B22" s="8" t="s">
        <v>244</v>
      </c>
    </row>
    <row r="24" spans="2:2" ht="20.100000000000001" customHeight="1" x14ac:dyDescent="0.25">
      <c r="B24" s="25" t="s">
        <v>15</v>
      </c>
    </row>
    <row r="26" spans="2:2" ht="20.100000000000001" customHeight="1" x14ac:dyDescent="0.25">
      <c r="B26" s="8" t="s">
        <v>245</v>
      </c>
    </row>
    <row r="28" spans="2:2" ht="20.100000000000001" customHeight="1" x14ac:dyDescent="0.25">
      <c r="B28" s="25" t="s">
        <v>16</v>
      </c>
    </row>
    <row r="30" spans="2:2" ht="20.100000000000001" customHeight="1" x14ac:dyDescent="0.25">
      <c r="B30" s="8" t="s">
        <v>245</v>
      </c>
    </row>
    <row r="32" spans="2:2" ht="20.100000000000001" customHeight="1" x14ac:dyDescent="0.25">
      <c r="B32" s="26" t="s">
        <v>205</v>
      </c>
    </row>
    <row r="34" spans="2:2" ht="20.100000000000001" customHeight="1" x14ac:dyDescent="0.25">
      <c r="B34" s="27" t="s">
        <v>14</v>
      </c>
    </row>
    <row r="36" spans="2:2" ht="20.100000000000001" customHeight="1" x14ac:dyDescent="0.25">
      <c r="B36" s="8" t="s">
        <v>246</v>
      </c>
    </row>
    <row r="38" spans="2:2" ht="20.100000000000001" customHeight="1" x14ac:dyDescent="0.25">
      <c r="B38" s="28" t="s">
        <v>15</v>
      </c>
    </row>
    <row r="40" spans="2:2" ht="20.100000000000001" customHeight="1" x14ac:dyDescent="0.25">
      <c r="B40" s="8" t="s">
        <v>246</v>
      </c>
    </row>
    <row r="41" spans="2:2" ht="20.100000000000001" customHeight="1" x14ac:dyDescent="0.25">
      <c r="B41" s="8" t="s">
        <v>206</v>
      </c>
    </row>
    <row r="43" spans="2:2" ht="20.100000000000001" customHeight="1" x14ac:dyDescent="0.25">
      <c r="B43" s="28" t="s">
        <v>16</v>
      </c>
    </row>
    <row r="45" spans="2:2" ht="20.100000000000001" customHeight="1" x14ac:dyDescent="0.25">
      <c r="B45" s="8" t="s">
        <v>246</v>
      </c>
    </row>
    <row r="46" spans="2:2" ht="20.100000000000001" customHeight="1" x14ac:dyDescent="0.25">
      <c r="B46" s="8" t="s">
        <v>206</v>
      </c>
    </row>
    <row r="51" spans="2:2" ht="20.100000000000001" customHeight="1" x14ac:dyDescent="0.25">
      <c r="B51" s="29"/>
    </row>
    <row r="53" spans="2:2" ht="20.100000000000001" customHeight="1" x14ac:dyDescent="0.25">
      <c r="B53" s="8"/>
    </row>
    <row r="54" spans="2:2" ht="20.100000000000001" customHeight="1" x14ac:dyDescent="0.25">
      <c r="B54" s="8"/>
    </row>
    <row r="55" spans="2:2" ht="20.100000000000001" customHeight="1" x14ac:dyDescent="0.25">
      <c r="B55" s="8"/>
    </row>
    <row r="57" spans="2:2" ht="20.100000000000001" customHeight="1" x14ac:dyDescent="0.25">
      <c r="B57" s="30"/>
    </row>
    <row r="59" spans="2:2" ht="20.100000000000001" customHeight="1" x14ac:dyDescent="0.25">
      <c r="B59" s="8"/>
    </row>
    <row r="60" spans="2:2" ht="20.100000000000001" customHeight="1" x14ac:dyDescent="0.25">
      <c r="B60" s="8"/>
    </row>
    <row r="67" spans="2:2" ht="20.100000000000001" customHeight="1" x14ac:dyDescent="0.25">
      <c r="B67" s="30"/>
    </row>
    <row r="69" spans="2:2" ht="20.100000000000001" customHeight="1" x14ac:dyDescent="0.25">
      <c r="B69" s="8"/>
    </row>
    <row r="70" spans="2:2" ht="20.100000000000001" customHeight="1" x14ac:dyDescent="0.25">
      <c r="B70" s="8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336A-DB5B-4CB9-B9A0-0E7D0D925E3C}">
  <sheetPr>
    <tabColor theme="1"/>
  </sheetPr>
  <dimension ref="B2:H15"/>
  <sheetViews>
    <sheetView showGridLines="0" topLeftCell="A3" zoomScale="115" zoomScaleNormal="115" workbookViewId="0"/>
  </sheetViews>
  <sheetFormatPr defaultColWidth="10.81640625" defaultRowHeight="20.100000000000001" customHeight="1" x14ac:dyDescent="0.25"/>
  <cols>
    <col min="1" max="1" width="3.36328125" style="1" customWidth="1"/>
    <col min="2" max="8" width="15.81640625" style="1" customWidth="1"/>
    <col min="9" max="9" width="3.36328125" style="1" customWidth="1"/>
    <col min="10" max="16384" width="10.81640625" style="1"/>
  </cols>
  <sheetData>
    <row r="2" spans="2:8" ht="20.100000000000001" customHeight="1" x14ac:dyDescent="0.25">
      <c r="B2" s="91" t="s">
        <v>230</v>
      </c>
      <c r="C2" s="92"/>
      <c r="D2" s="92"/>
      <c r="E2" s="92"/>
      <c r="F2" s="92"/>
    </row>
    <row r="3" spans="2:8" s="19" customFormat="1" ht="35.1" customHeight="1" x14ac:dyDescent="0.25">
      <c r="B3" s="39" t="s">
        <v>193</v>
      </c>
      <c r="C3" s="40" t="s">
        <v>194</v>
      </c>
      <c r="D3" s="40" t="s">
        <v>195</v>
      </c>
      <c r="E3" s="40" t="s">
        <v>196</v>
      </c>
      <c r="F3" s="41" t="s">
        <v>207</v>
      </c>
    </row>
    <row r="4" spans="2:8" ht="20.100000000000001" customHeight="1" x14ac:dyDescent="0.25">
      <c r="B4" s="6" t="s">
        <v>197</v>
      </c>
      <c r="C4" s="6">
        <v>44</v>
      </c>
      <c r="D4" s="5" t="s">
        <v>212</v>
      </c>
      <c r="E4" s="5" t="s">
        <v>212</v>
      </c>
      <c r="F4" s="5" t="s">
        <v>212</v>
      </c>
    </row>
    <row r="5" spans="2:8" ht="20.100000000000001" customHeight="1" x14ac:dyDescent="0.25">
      <c r="B5" s="6" t="s">
        <v>198</v>
      </c>
      <c r="C5" s="38">
        <v>1</v>
      </c>
      <c r="D5" s="5" t="s">
        <v>212</v>
      </c>
      <c r="E5" s="5" t="s">
        <v>212</v>
      </c>
      <c r="F5" s="84">
        <f>100%-1</f>
        <v>0</v>
      </c>
    </row>
    <row r="7" spans="2:8" ht="20.100000000000001" customHeight="1" x14ac:dyDescent="0.25">
      <c r="B7" s="91" t="s">
        <v>231</v>
      </c>
      <c r="C7" s="92"/>
      <c r="D7" s="92"/>
      <c r="E7" s="92"/>
      <c r="F7" s="92"/>
    </row>
    <row r="8" spans="2:8" ht="35.1" customHeight="1" x14ac:dyDescent="0.25">
      <c r="B8" s="39" t="s">
        <v>193</v>
      </c>
      <c r="C8" s="40" t="s">
        <v>194</v>
      </c>
      <c r="D8" s="40" t="s">
        <v>195</v>
      </c>
      <c r="E8" s="40" t="s">
        <v>196</v>
      </c>
      <c r="F8" s="41" t="s">
        <v>207</v>
      </c>
    </row>
    <row r="9" spans="2:8" ht="20.100000000000001" customHeight="1" x14ac:dyDescent="0.25">
      <c r="B9" s="6" t="s">
        <v>197</v>
      </c>
      <c r="C9" s="6">
        <v>44</v>
      </c>
      <c r="D9" s="6">
        <v>9</v>
      </c>
      <c r="E9" s="6">
        <v>35</v>
      </c>
      <c r="F9" s="5" t="s">
        <v>212</v>
      </c>
    </row>
    <row r="10" spans="2:8" ht="20.100000000000001" customHeight="1" x14ac:dyDescent="0.25">
      <c r="B10" s="6" t="s">
        <v>198</v>
      </c>
      <c r="C10" s="38">
        <v>1</v>
      </c>
      <c r="D10" s="38">
        <v>1</v>
      </c>
      <c r="E10" s="38">
        <f>60/52.5*120%</f>
        <v>1.3714285714285712</v>
      </c>
      <c r="F10" s="84">
        <f>((D9*D10+E9*E10)/C9)-1</f>
        <v>0.29545454545454519</v>
      </c>
    </row>
    <row r="12" spans="2:8" ht="20.100000000000001" customHeight="1" x14ac:dyDescent="0.25">
      <c r="B12" s="93" t="s">
        <v>232</v>
      </c>
      <c r="C12" s="94"/>
      <c r="D12" s="94"/>
      <c r="E12" s="94"/>
      <c r="F12" s="94"/>
      <c r="G12" s="94"/>
      <c r="H12" s="94"/>
    </row>
    <row r="13" spans="2:8" ht="35.1" customHeight="1" x14ac:dyDescent="0.25">
      <c r="B13" s="42" t="s">
        <v>193</v>
      </c>
      <c r="C13" s="43" t="s">
        <v>194</v>
      </c>
      <c r="D13" s="43" t="s">
        <v>199</v>
      </c>
      <c r="E13" s="43" t="s">
        <v>210</v>
      </c>
      <c r="F13" s="43" t="s">
        <v>211</v>
      </c>
      <c r="G13" s="42" t="s">
        <v>200</v>
      </c>
      <c r="H13" s="44" t="s">
        <v>207</v>
      </c>
    </row>
    <row r="14" spans="2:8" ht="20.100000000000001" customHeight="1" x14ac:dyDescent="0.25">
      <c r="B14" s="37" t="s">
        <v>197</v>
      </c>
      <c r="C14" s="37">
        <v>44</v>
      </c>
      <c r="D14" s="37">
        <f>(5*2)</f>
        <v>10</v>
      </c>
      <c r="E14" s="37">
        <v>4</v>
      </c>
      <c r="F14" s="37"/>
      <c r="G14" s="37">
        <f>SUM(C14:F14)</f>
        <v>58</v>
      </c>
      <c r="H14" s="5" t="s">
        <v>212</v>
      </c>
    </row>
    <row r="15" spans="2:8" ht="20.100000000000001" customHeight="1" x14ac:dyDescent="0.25">
      <c r="B15" s="37" t="s">
        <v>198</v>
      </c>
      <c r="C15" s="45">
        <v>1</v>
      </c>
      <c r="D15" s="45">
        <v>1.5</v>
      </c>
      <c r="E15" s="45">
        <v>1.5</v>
      </c>
      <c r="F15" s="45">
        <v>2</v>
      </c>
      <c r="G15" s="37">
        <f>C14*C15+D14*D15+E14*E15+F14*+F15</f>
        <v>65</v>
      </c>
      <c r="H15" s="85">
        <f>(G15/C14)-1</f>
        <v>0.47727272727272729</v>
      </c>
    </row>
  </sheetData>
  <mergeCells count="3">
    <mergeCell ref="B2:F2"/>
    <mergeCell ref="B7:F7"/>
    <mergeCell ref="B12:H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C25D-A06C-441C-A4E5-71B1D171B5D4}">
  <sheetPr>
    <tabColor theme="1"/>
  </sheetPr>
  <dimension ref="B1:C12"/>
  <sheetViews>
    <sheetView showGridLines="0" zoomScaleNormal="100" workbookViewId="0">
      <selection activeCell="C1" sqref="C1"/>
    </sheetView>
  </sheetViews>
  <sheetFormatPr defaultColWidth="10.81640625" defaultRowHeight="20.100000000000001" customHeight="1" x14ac:dyDescent="0.25"/>
  <cols>
    <col min="1" max="1" width="3.36328125" style="1" customWidth="1"/>
    <col min="2" max="2" width="45.81640625" style="1" customWidth="1"/>
    <col min="3" max="3" width="15.81640625" style="1" customWidth="1"/>
    <col min="4" max="4" width="3.36328125" style="1" customWidth="1"/>
    <col min="5" max="16384" width="10.81640625" style="1"/>
  </cols>
  <sheetData>
    <row r="1" spans="2:3" ht="32.4" customHeight="1" x14ac:dyDescent="0.25">
      <c r="B1" s="52" t="s">
        <v>259</v>
      </c>
      <c r="C1" s="6" t="s">
        <v>64</v>
      </c>
    </row>
    <row r="2" spans="2:3" ht="20.100000000000001" customHeight="1" x14ac:dyDescent="0.25">
      <c r="B2" s="46" t="s">
        <v>2</v>
      </c>
      <c r="C2" s="46" t="s">
        <v>3</v>
      </c>
    </row>
    <row r="3" spans="2:3" ht="20.100000000000001" customHeight="1" x14ac:dyDescent="0.25">
      <c r="B3" s="47" t="s">
        <v>227</v>
      </c>
      <c r="C3" s="3">
        <f>VLOOKUP(C1,'1-Valor_Unitário_Economia'!A1:F42,6,)</f>
        <v>174472097.31</v>
      </c>
    </row>
    <row r="4" spans="2:3" ht="20.100000000000001" customHeight="1" x14ac:dyDescent="0.25">
      <c r="B4" s="47" t="s">
        <v>222</v>
      </c>
      <c r="C4" s="3">
        <f>C5*VLOOKUP(C1,'1-Valor_Unitário_Economia'!A1:L42,12)</f>
        <v>174472097.31</v>
      </c>
    </row>
    <row r="5" spans="2:3" ht="20.100000000000001" customHeight="1" x14ac:dyDescent="0.25">
      <c r="B5" s="47" t="s">
        <v>219</v>
      </c>
      <c r="C5" s="3">
        <f>VLOOKUP(C1,'1-Valor_Unitário_Economia'!A1:J42,10,)</f>
        <v>54908</v>
      </c>
    </row>
    <row r="6" spans="2:3" ht="20.100000000000001" customHeight="1" x14ac:dyDescent="0.25">
      <c r="B6" s="47" t="s">
        <v>225</v>
      </c>
      <c r="C6" s="76">
        <v>0.1</v>
      </c>
    </row>
    <row r="7" spans="2:3" ht="20.100000000000001" customHeight="1" x14ac:dyDescent="0.25">
      <c r="B7" s="47" t="s">
        <v>213</v>
      </c>
      <c r="C7" s="3">
        <f>C6*C5</f>
        <v>5490.8</v>
      </c>
    </row>
    <row r="8" spans="2:3" ht="20.100000000000001" customHeight="1" x14ac:dyDescent="0.25">
      <c r="B8" s="47" t="s">
        <v>208</v>
      </c>
      <c r="C8" s="3">
        <f>VLOOKUP(C1,'1-Valor_Unitário_Economia'!A1:L42,12)*C7</f>
        <v>17447209.731000002</v>
      </c>
    </row>
    <row r="9" spans="2:3" ht="20.100000000000001" customHeight="1" x14ac:dyDescent="0.25">
      <c r="B9" s="48" t="s">
        <v>4</v>
      </c>
      <c r="C9" s="51">
        <v>12</v>
      </c>
    </row>
    <row r="10" spans="2:3" ht="20.100000000000001" customHeight="1" x14ac:dyDescent="0.25">
      <c r="B10" s="47" t="s">
        <v>5</v>
      </c>
      <c r="C10" s="76">
        <v>0.15</v>
      </c>
    </row>
    <row r="11" spans="2:3" ht="20.100000000000001" customHeight="1" x14ac:dyDescent="0.25">
      <c r="B11" s="47" t="s">
        <v>214</v>
      </c>
      <c r="C11" s="76">
        <v>0.13</v>
      </c>
    </row>
    <row r="12" spans="2:3" ht="20.100000000000001" customHeight="1" x14ac:dyDescent="0.25">
      <c r="B12" s="47" t="s">
        <v>215</v>
      </c>
      <c r="C12" s="76">
        <v>0.13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388B-F365-4455-94C9-81751B3AE20C}">
  <sheetPr>
    <tabColor theme="1"/>
  </sheetPr>
  <dimension ref="B2:F10"/>
  <sheetViews>
    <sheetView showGridLines="0" zoomScale="115" zoomScaleNormal="115" workbookViewId="0">
      <selection activeCell="B16" sqref="B16"/>
    </sheetView>
  </sheetViews>
  <sheetFormatPr defaultColWidth="10.81640625" defaultRowHeight="20.100000000000001" customHeight="1" x14ac:dyDescent="0.25"/>
  <cols>
    <col min="1" max="1" width="3.36328125" style="1" customWidth="1"/>
    <col min="2" max="2" width="85.81640625" style="1" customWidth="1"/>
    <col min="3" max="3" width="16.6328125" style="1" bestFit="1" customWidth="1"/>
    <col min="4" max="4" width="3.36328125" style="1" customWidth="1"/>
    <col min="5" max="5" width="16.08984375" style="53" bestFit="1" customWidth="1"/>
    <col min="6" max="16384" width="10.81640625" style="1"/>
  </cols>
  <sheetData>
    <row r="2" spans="2:6" ht="20.100000000000001" customHeight="1" x14ac:dyDescent="0.25">
      <c r="B2" s="46" t="s">
        <v>10</v>
      </c>
      <c r="C2" s="46" t="s">
        <v>11</v>
      </c>
    </row>
    <row r="3" spans="2:6" ht="20.100000000000001" customHeight="1" x14ac:dyDescent="0.25">
      <c r="B3" s="95" t="s">
        <v>2</v>
      </c>
      <c r="C3" s="96"/>
    </row>
    <row r="4" spans="2:6" ht="20.100000000000001" customHeight="1" x14ac:dyDescent="0.25">
      <c r="B4" s="12" t="str">
        <f>'5-Parâmetros'!B9</f>
        <v>Período Antecipado (em meses):</v>
      </c>
      <c r="C4" s="13">
        <f>'5-Parâmetros'!C9</f>
        <v>12</v>
      </c>
    </row>
    <row r="5" spans="2:6" ht="20.100000000000001" customHeight="1" x14ac:dyDescent="0.25">
      <c r="B5" s="14" t="s">
        <v>1</v>
      </c>
      <c r="C5" s="15">
        <f>(1+'5-Parâmetros'!C10)^(1/12)-1</f>
        <v>1.171491691985338E-2</v>
      </c>
      <c r="E5" s="54"/>
    </row>
    <row r="6" spans="2:6" ht="20.100000000000001" customHeight="1" x14ac:dyDescent="0.25">
      <c r="B6" s="12" t="str">
        <f>'5-Parâmetros'!B8</f>
        <v>Valor Original da Parcela do Serviço Antecipado:</v>
      </c>
      <c r="C6" s="16">
        <f>'5-Parâmetros'!C8</f>
        <v>17447209.731000002</v>
      </c>
      <c r="F6" s="11"/>
    </row>
    <row r="7" spans="2:6" ht="20.100000000000001" customHeight="1" x14ac:dyDescent="0.25">
      <c r="B7" s="97" t="s">
        <v>257</v>
      </c>
      <c r="C7" s="98"/>
    </row>
    <row r="8" spans="2:6" ht="20.100000000000001" customHeight="1" x14ac:dyDescent="0.25">
      <c r="B8" s="10" t="s">
        <v>12</v>
      </c>
      <c r="C8" s="9">
        <f>C6/128%</f>
        <v>13630632.602343751</v>
      </c>
    </row>
    <row r="9" spans="2:6" ht="20.100000000000001" customHeight="1" x14ac:dyDescent="0.25">
      <c r="B9" s="17" t="s">
        <v>258</v>
      </c>
      <c r="C9" s="18">
        <f>-(FV(C5,C4,(C8/C4)))-C8</f>
        <v>913466.06220153905</v>
      </c>
    </row>
    <row r="10" spans="2:6" ht="20.100000000000001" customHeight="1" x14ac:dyDescent="0.25">
      <c r="C10" s="2"/>
      <c r="E10" s="54"/>
    </row>
  </sheetData>
  <mergeCells count="2">
    <mergeCell ref="B3:C3"/>
    <mergeCell ref="B7:C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8D40-8D1B-4EEA-904B-053E78CF9762}">
  <sheetPr>
    <tabColor theme="1"/>
  </sheetPr>
  <dimension ref="B2:I11"/>
  <sheetViews>
    <sheetView showGridLines="0" zoomScale="115" zoomScaleNormal="115" workbookViewId="0">
      <selection activeCell="G9" sqref="G9"/>
    </sheetView>
  </sheetViews>
  <sheetFormatPr defaultColWidth="10.81640625" defaultRowHeight="20.100000000000001" customHeight="1" x14ac:dyDescent="0.25"/>
  <cols>
    <col min="1" max="1" width="3.36328125" style="1" customWidth="1"/>
    <col min="2" max="7" width="18.36328125" style="1" customWidth="1"/>
    <col min="8" max="8" width="3.36328125" style="1" customWidth="1"/>
    <col min="9" max="16384" width="10.81640625" style="1"/>
  </cols>
  <sheetData>
    <row r="2" spans="2:9" ht="35.1" customHeight="1" x14ac:dyDescent="0.25">
      <c r="B2" s="7" t="s">
        <v>6</v>
      </c>
      <c r="C2" s="32" t="s">
        <v>9</v>
      </c>
      <c r="D2" s="32" t="s">
        <v>17</v>
      </c>
      <c r="E2" s="32" t="s">
        <v>14</v>
      </c>
      <c r="F2" s="32" t="s">
        <v>15</v>
      </c>
      <c r="G2" s="32" t="s">
        <v>16</v>
      </c>
    </row>
    <row r="3" spans="2:9" ht="20.100000000000001" customHeight="1" x14ac:dyDescent="0.25">
      <c r="B3" s="31" t="s">
        <v>7</v>
      </c>
      <c r="C3" s="33">
        <f>'2-Proporção'!C9</f>
        <v>0.34554269722397268</v>
      </c>
      <c r="D3" s="34">
        <f>'5-Parâmetros'!$C$8*'7-Cálculo_Crashing'!C3</f>
        <v>6028755.9094820833</v>
      </c>
      <c r="E3" s="35">
        <f>'6-Custo_Oportunidade'!$C$9*'7-Cálculo_Crashing'!C3</f>
        <v>315641.52695568098</v>
      </c>
      <c r="F3" s="35">
        <f>E3+(D3*('4-Premissas-MO'!F10))</f>
        <v>2096864.863848113</v>
      </c>
      <c r="G3" s="35">
        <f>E3+(D3*('4-Premissas-MO'!H15))</f>
        <v>3193002.3019357664</v>
      </c>
      <c r="I3" s="57"/>
    </row>
    <row r="4" spans="2:9" ht="20.100000000000001" customHeight="1" x14ac:dyDescent="0.25">
      <c r="B4" s="31" t="s">
        <v>13</v>
      </c>
      <c r="C4" s="33">
        <f>'2-Proporção'!D9</f>
        <v>0.25351503172680606</v>
      </c>
      <c r="D4" s="34">
        <f>'5-Parâmetros'!$C$8*'7-Cálculo_Crashing'!C4</f>
        <v>4423129.9284987049</v>
      </c>
      <c r="E4" s="35">
        <f>'6-Custo_Oportunidade'!$C$9*'7-Cálculo_Crashing'!C4</f>
        <v>231577.37774038376</v>
      </c>
      <c r="F4" s="35">
        <f>E4</f>
        <v>231577.37774038376</v>
      </c>
      <c r="G4" s="35">
        <f>E4</f>
        <v>231577.37774038376</v>
      </c>
      <c r="I4" s="57"/>
    </row>
    <row r="5" spans="2:9" ht="20.100000000000001" customHeight="1" x14ac:dyDescent="0.25">
      <c r="B5" s="31" t="s">
        <v>8</v>
      </c>
      <c r="C5" s="33">
        <f>'2-Proporção'!E9</f>
        <v>0.40094227104922148</v>
      </c>
      <c r="D5" s="34">
        <f>'5-Parâmetros'!$C$8*'7-Cálculo_Crashing'!C5</f>
        <v>6995323.8930192171</v>
      </c>
      <c r="E5" s="35">
        <f>'6-Custo_Oportunidade'!$C$9*'7-Cálculo_Crashing'!C5</f>
        <v>366247.15750547446</v>
      </c>
      <c r="F5" s="35">
        <f>E5+(D5*'5-Parâmetros'!C11)</f>
        <v>1275639.2635979727</v>
      </c>
      <c r="G5" s="35">
        <f>E5+D5*'5-Parâmetros'!C12</f>
        <v>1275639.2635979727</v>
      </c>
      <c r="I5" s="57"/>
    </row>
    <row r="6" spans="2:9" ht="20.100000000000001" customHeight="1" x14ac:dyDescent="0.25">
      <c r="C6" s="99" t="s">
        <v>234</v>
      </c>
      <c r="D6" s="100"/>
      <c r="E6" s="36">
        <f>SUM(E3:E5)</f>
        <v>913466.06220153929</v>
      </c>
      <c r="F6" s="36">
        <f t="shared" ref="F6" si="0">SUM(F3:F5)</f>
        <v>3604081.5051864693</v>
      </c>
      <c r="G6" s="36">
        <f>SUM(G3:G5)</f>
        <v>4700218.9432741227</v>
      </c>
    </row>
    <row r="7" spans="2:9" ht="20.100000000000001" customHeight="1" x14ac:dyDescent="0.25">
      <c r="C7" s="99" t="s">
        <v>235</v>
      </c>
      <c r="D7" s="100"/>
      <c r="E7" s="101">
        <f>'5-Parâmetros'!$C$8</f>
        <v>17447209.731000002</v>
      </c>
      <c r="F7" s="102"/>
      <c r="G7" s="103"/>
    </row>
    <row r="8" spans="2:9" ht="20.100000000000001" customHeight="1" x14ac:dyDescent="0.25">
      <c r="C8" s="99" t="s">
        <v>236</v>
      </c>
      <c r="D8" s="100"/>
      <c r="E8" s="36">
        <f>E6+$E$7</f>
        <v>18360675.793201543</v>
      </c>
      <c r="F8" s="36">
        <f>F6+$E$7</f>
        <v>21051291.236186471</v>
      </c>
      <c r="G8" s="36">
        <f>G6+$E$7</f>
        <v>22147428.674274124</v>
      </c>
    </row>
    <row r="9" spans="2:9" ht="20.100000000000001" customHeight="1" x14ac:dyDescent="0.25">
      <c r="C9" s="99" t="s">
        <v>239</v>
      </c>
      <c r="D9" s="100"/>
      <c r="E9" s="82">
        <f>E8/$E$7-1</f>
        <v>5.235599710700467E-2</v>
      </c>
      <c r="F9" s="82">
        <f t="shared" ref="F9:G9" si="1">F8/$E$7-1</f>
        <v>0.20657065288684984</v>
      </c>
      <c r="G9" s="82">
        <f t="shared" si="1"/>
        <v>0.26939659783666303</v>
      </c>
    </row>
    <row r="10" spans="2:9" ht="20.100000000000001" customHeight="1" x14ac:dyDescent="0.25">
      <c r="C10" s="99" t="s">
        <v>237</v>
      </c>
      <c r="D10" s="100"/>
      <c r="E10" s="101">
        <f>'1-Valor_Unitário_Economia'!F46</f>
        <v>6158394362.4400005</v>
      </c>
      <c r="F10" s="102"/>
      <c r="G10" s="103"/>
    </row>
    <row r="11" spans="2:9" ht="20.100000000000001" customHeight="1" x14ac:dyDescent="0.25">
      <c r="C11" s="99" t="s">
        <v>238</v>
      </c>
      <c r="D11" s="100"/>
      <c r="E11" s="88">
        <f>E6/E10</f>
        <v>1.4832860782231839E-4</v>
      </c>
      <c r="F11" s="88">
        <f>F6/E10</f>
        <v>5.8523070999930344E-4</v>
      </c>
      <c r="G11" s="88">
        <f>G6/E10</f>
        <v>7.632214935666871E-4</v>
      </c>
    </row>
  </sheetData>
  <mergeCells count="8">
    <mergeCell ref="C11:D11"/>
    <mergeCell ref="C6:D6"/>
    <mergeCell ref="C7:D7"/>
    <mergeCell ref="E7:G7"/>
    <mergeCell ref="C10:D10"/>
    <mergeCell ref="E10:G10"/>
    <mergeCell ref="C8:D8"/>
    <mergeCell ref="C9:D9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BFDB-9C92-4F82-8E5D-8923A02A03A8}">
  <sheetPr>
    <tabColor theme="1"/>
    <pageSetUpPr fitToPage="1"/>
  </sheetPr>
  <dimension ref="B2:L37"/>
  <sheetViews>
    <sheetView showGridLines="0" zoomScale="85" zoomScaleNormal="85" workbookViewId="0">
      <selection activeCell="G26" sqref="G26"/>
    </sheetView>
  </sheetViews>
  <sheetFormatPr defaultColWidth="10.81640625" defaultRowHeight="20.100000000000001" customHeight="1" x14ac:dyDescent="0.25"/>
  <cols>
    <col min="1" max="1" width="3.36328125" style="1" customWidth="1"/>
    <col min="2" max="2" width="5.81640625" style="1" customWidth="1"/>
    <col min="3" max="12" width="15.81640625" style="1" customWidth="1"/>
    <col min="13" max="13" width="3.36328125" style="1" customWidth="1"/>
    <col min="14" max="16384" width="10.81640625" style="1"/>
  </cols>
  <sheetData>
    <row r="2" spans="2:12" ht="20.100000000000001" customHeight="1" x14ac:dyDescent="0.25">
      <c r="B2" s="50" t="s">
        <v>220</v>
      </c>
      <c r="C2" s="50"/>
    </row>
    <row r="3" spans="2:12" ht="20.100000000000001" customHeight="1" x14ac:dyDescent="0.25">
      <c r="B3" s="50"/>
      <c r="C3" s="50"/>
    </row>
    <row r="4" spans="2:12" ht="20.100000000000001" customHeight="1" x14ac:dyDescent="0.25">
      <c r="B4" s="8"/>
      <c r="C4" s="8"/>
      <c r="D4" s="52" t="str">
        <f>'5-Parâmetros'!B3</f>
        <v>Valor Total Contratado (2025 e 2026):</v>
      </c>
      <c r="E4" s="2">
        <f>'5-Parâmetros'!C3</f>
        <v>174472097.31</v>
      </c>
    </row>
    <row r="5" spans="2:12" ht="20.100000000000001" customHeight="1" x14ac:dyDescent="0.25">
      <c r="B5" s="8"/>
      <c r="C5" s="8"/>
      <c r="D5" s="52" t="str">
        <f>'5-Parâmetros'!B4</f>
        <v>Valor Contratado para 2026:</v>
      </c>
      <c r="E5" s="2">
        <f>'5-Parâmetros'!C4</f>
        <v>174472097.31</v>
      </c>
    </row>
    <row r="6" spans="2:12" ht="20.100000000000001" customHeight="1" x14ac:dyDescent="0.25">
      <c r="B6" s="8"/>
      <c r="C6" s="8"/>
      <c r="D6" s="49" t="s">
        <v>226</v>
      </c>
      <c r="E6" s="2">
        <f>E5/E8</f>
        <v>14539341.442500001</v>
      </c>
    </row>
    <row r="7" spans="2:12" ht="20.100000000000001" customHeight="1" x14ac:dyDescent="0.25">
      <c r="B7" s="8"/>
      <c r="C7" s="8"/>
      <c r="D7" s="52" t="str">
        <f>'5-Parâmetros'!B5</f>
        <v>Total de Economias 2026 do Integra Tietê:</v>
      </c>
      <c r="E7" s="2">
        <f>'5-Parâmetros'!C5</f>
        <v>54908</v>
      </c>
    </row>
    <row r="8" spans="2:12" ht="20.100000000000001" customHeight="1" x14ac:dyDescent="0.25">
      <c r="B8" s="8"/>
      <c r="C8" s="8"/>
      <c r="D8" s="52" t="str">
        <f>'5-Parâmetros'!B9</f>
        <v>Período Antecipado (em meses):</v>
      </c>
      <c r="E8" s="2">
        <v>12</v>
      </c>
    </row>
    <row r="9" spans="2:12" ht="20.100000000000001" customHeight="1" x14ac:dyDescent="0.25">
      <c r="B9" s="8"/>
      <c r="C9" s="8"/>
      <c r="D9" s="52" t="str">
        <f>'5-Parâmetros'!B10</f>
        <v>Taxa Selic Anual:</v>
      </c>
      <c r="E9" s="78">
        <f>'5-Parâmetros'!C10</f>
        <v>0.15</v>
      </c>
    </row>
    <row r="10" spans="2:12" ht="20.100000000000001" customHeight="1" x14ac:dyDescent="0.25">
      <c r="B10" s="8"/>
      <c r="C10" s="8"/>
      <c r="D10" s="52" t="str">
        <f>'5-Parâmetros'!B11</f>
        <v>Aumento de Equipamentos - Cenário B</v>
      </c>
      <c r="E10" s="78">
        <f>'5-Parâmetros'!C11</f>
        <v>0.13</v>
      </c>
    </row>
    <row r="11" spans="2:12" ht="20.100000000000001" customHeight="1" x14ac:dyDescent="0.25">
      <c r="B11" s="8"/>
      <c r="C11" s="8"/>
      <c r="D11" s="52" t="str">
        <f>'5-Parâmetros'!B12</f>
        <v>Aumento de Equipamentos - Cenário C</v>
      </c>
      <c r="E11" s="78">
        <f>'5-Parâmetros'!C12</f>
        <v>0.13</v>
      </c>
    </row>
    <row r="13" spans="2:12" ht="20.100000000000001" customHeight="1" x14ac:dyDescent="0.25">
      <c r="B13" s="50" t="s">
        <v>221</v>
      </c>
      <c r="C13" s="50"/>
    </row>
    <row r="14" spans="2:12" ht="20.100000000000001" customHeight="1" x14ac:dyDescent="0.25">
      <c r="D14" s="59"/>
      <c r="E14" s="59"/>
    </row>
    <row r="15" spans="2:12" ht="20.100000000000001" customHeight="1" x14ac:dyDescent="0.25">
      <c r="B15" s="104" t="s">
        <v>240</v>
      </c>
      <c r="C15" s="104"/>
      <c r="D15" s="105" t="s">
        <v>14</v>
      </c>
      <c r="E15" s="105"/>
      <c r="F15" s="105"/>
      <c r="G15" s="104" t="s">
        <v>15</v>
      </c>
      <c r="H15" s="104"/>
      <c r="I15" s="104"/>
      <c r="J15" s="104" t="s">
        <v>16</v>
      </c>
      <c r="K15" s="104"/>
      <c r="L15" s="104"/>
    </row>
    <row r="16" spans="2:12" s="19" customFormat="1" ht="35.1" customHeight="1" x14ac:dyDescent="0.25">
      <c r="B16" s="58" t="s">
        <v>0</v>
      </c>
      <c r="C16" s="58" t="s">
        <v>11</v>
      </c>
      <c r="D16" s="58" t="s">
        <v>224</v>
      </c>
      <c r="E16" s="58" t="s">
        <v>242</v>
      </c>
      <c r="F16" s="58" t="s">
        <v>241</v>
      </c>
      <c r="G16" s="58" t="s">
        <v>224</v>
      </c>
      <c r="H16" s="58" t="s">
        <v>242</v>
      </c>
      <c r="I16" s="58" t="s">
        <v>223</v>
      </c>
      <c r="J16" s="58" t="s">
        <v>224</v>
      </c>
      <c r="K16" s="58" t="s">
        <v>242</v>
      </c>
      <c r="L16" s="58" t="s">
        <v>223</v>
      </c>
    </row>
    <row r="17" spans="2:12" ht="20.100000000000001" customHeight="1" x14ac:dyDescent="0.25">
      <c r="B17" s="77">
        <v>0.01</v>
      </c>
      <c r="C17" s="55">
        <f t="shared" ref="C17:C37" si="0">$E$5*B17</f>
        <v>1744720.9731000001</v>
      </c>
      <c r="D17" s="55">
        <f>$C17*('7-Cálculo_Crashing'!$E$9)</f>
        <v>91346.606220153975</v>
      </c>
      <c r="E17" s="79">
        <f>D17/$C17</f>
        <v>5.235599710700467E-2</v>
      </c>
      <c r="F17" s="80">
        <f t="shared" ref="F17:F37" si="1">D17/$E$4</f>
        <v>5.2355997107004669E-4</v>
      </c>
      <c r="G17" s="55">
        <f>$C17*('7-Cálculo_Crashing'!$F$9)</f>
        <v>360408.15051864699</v>
      </c>
      <c r="H17" s="79">
        <f>G17/$C17</f>
        <v>0.20657065288684984</v>
      </c>
      <c r="I17" s="80">
        <f t="shared" ref="I17:I37" si="2">G17/$E$4</f>
        <v>2.0657065288684985E-3</v>
      </c>
      <c r="J17" s="55">
        <f>$C17*('7-Cálculo_Crashing'!$G$9)</f>
        <v>470021.89432741207</v>
      </c>
      <c r="K17" s="79">
        <f>J17/$C17</f>
        <v>0.26939659783666303</v>
      </c>
      <c r="L17" s="80">
        <f t="shared" ref="L17:L37" si="3">J17/$E$4</f>
        <v>2.6939659783666303E-3</v>
      </c>
    </row>
    <row r="18" spans="2:12" ht="20.100000000000001" customHeight="1" x14ac:dyDescent="0.25">
      <c r="B18" s="77">
        <v>0.02</v>
      </c>
      <c r="C18" s="55">
        <f t="shared" si="0"/>
        <v>3489441.9462000001</v>
      </c>
      <c r="D18" s="55">
        <f>$C18*('7-Cálculo_Crashing'!$E$9)</f>
        <v>182693.21244030795</v>
      </c>
      <c r="E18" s="79">
        <f t="shared" ref="E18:E37" si="4">D18/$C18</f>
        <v>5.235599710700467E-2</v>
      </c>
      <c r="F18" s="80">
        <f t="shared" si="1"/>
        <v>1.0471199421400934E-3</v>
      </c>
      <c r="G18" s="55">
        <f>$C18*('7-Cálculo_Crashing'!$F$9)</f>
        <v>720816.30103729398</v>
      </c>
      <c r="H18" s="79">
        <f t="shared" ref="H18:H37" si="5">G18/$C18</f>
        <v>0.20657065288684984</v>
      </c>
      <c r="I18" s="80">
        <f t="shared" si="2"/>
        <v>4.1314130577369971E-3</v>
      </c>
      <c r="J18" s="55">
        <f>$C18*('7-Cálculo_Crashing'!$G$9)</f>
        <v>940043.78865482414</v>
      </c>
      <c r="K18" s="79">
        <f t="shared" ref="K18:K37" si="6">J18/$C18</f>
        <v>0.26939659783666303</v>
      </c>
      <c r="L18" s="80">
        <f t="shared" si="3"/>
        <v>5.3879319567332606E-3</v>
      </c>
    </row>
    <row r="19" spans="2:12" ht="20.100000000000001" customHeight="1" x14ac:dyDescent="0.25">
      <c r="B19" s="77">
        <v>0.03</v>
      </c>
      <c r="C19" s="55">
        <f t="shared" si="0"/>
        <v>5234162.9193000002</v>
      </c>
      <c r="D19" s="55">
        <f>$C19*('7-Cálculo_Crashing'!$E$9)</f>
        <v>274039.81866046193</v>
      </c>
      <c r="E19" s="79">
        <f t="shared" si="4"/>
        <v>5.235599710700467E-2</v>
      </c>
      <c r="F19" s="80">
        <f t="shared" si="1"/>
        <v>1.5706799132101401E-3</v>
      </c>
      <c r="G19" s="55">
        <f>$C19*('7-Cálculo_Crashing'!$F$9)</f>
        <v>1081224.451555941</v>
      </c>
      <c r="H19" s="79">
        <f t="shared" si="5"/>
        <v>0.20657065288684984</v>
      </c>
      <c r="I19" s="80">
        <f t="shared" si="2"/>
        <v>6.197119586605496E-3</v>
      </c>
      <c r="J19" s="55">
        <f>$C19*('7-Cálculo_Crashing'!$G$9)</f>
        <v>1410065.6829822364</v>
      </c>
      <c r="K19" s="79">
        <f t="shared" si="6"/>
        <v>0.26939659783666303</v>
      </c>
      <c r="L19" s="80">
        <f t="shared" si="3"/>
        <v>8.081897935099891E-3</v>
      </c>
    </row>
    <row r="20" spans="2:12" ht="20.100000000000001" customHeight="1" x14ac:dyDescent="0.25">
      <c r="B20" s="77">
        <v>0.04</v>
      </c>
      <c r="C20" s="55">
        <f t="shared" si="0"/>
        <v>6978883.8924000002</v>
      </c>
      <c r="D20" s="55">
        <f>$C20*('7-Cálculo_Crashing'!$E$9)</f>
        <v>365386.4248806159</v>
      </c>
      <c r="E20" s="79">
        <f t="shared" si="4"/>
        <v>5.235599710700467E-2</v>
      </c>
      <c r="F20" s="80">
        <f t="shared" si="1"/>
        <v>2.0942398842801867E-3</v>
      </c>
      <c r="G20" s="55">
        <f>$C20*('7-Cálculo_Crashing'!$F$9)</f>
        <v>1441632.602074588</v>
      </c>
      <c r="H20" s="79">
        <f t="shared" si="5"/>
        <v>0.20657065288684984</v>
      </c>
      <c r="I20" s="80">
        <f t="shared" si="2"/>
        <v>8.2628261154739941E-3</v>
      </c>
      <c r="J20" s="55">
        <f>$C20*('7-Cálculo_Crashing'!$G$9)</f>
        <v>1880087.5773096483</v>
      </c>
      <c r="K20" s="79">
        <f t="shared" si="6"/>
        <v>0.26939659783666303</v>
      </c>
      <c r="L20" s="80">
        <f t="shared" si="3"/>
        <v>1.0775863913466521E-2</v>
      </c>
    </row>
    <row r="21" spans="2:12" ht="20.100000000000001" customHeight="1" x14ac:dyDescent="0.25">
      <c r="B21" s="77">
        <v>0.05</v>
      </c>
      <c r="C21" s="55">
        <f t="shared" si="0"/>
        <v>8723604.8655000012</v>
      </c>
      <c r="D21" s="55">
        <f>$C21*('7-Cálculo_Crashing'!$E$9)</f>
        <v>456733.03110076993</v>
      </c>
      <c r="E21" s="79">
        <f t="shared" si="4"/>
        <v>5.235599710700467E-2</v>
      </c>
      <c r="F21" s="80">
        <f t="shared" si="1"/>
        <v>2.6177998553502339E-3</v>
      </c>
      <c r="G21" s="55">
        <f>$C21*('7-Cálculo_Crashing'!$F$9)</f>
        <v>1802040.7525932351</v>
      </c>
      <c r="H21" s="79">
        <f t="shared" si="5"/>
        <v>0.20657065288684984</v>
      </c>
      <c r="I21" s="80">
        <f t="shared" si="2"/>
        <v>1.0328532644342494E-2</v>
      </c>
      <c r="J21" s="55">
        <f>$C21*('7-Cálculo_Crashing'!$G$9)</f>
        <v>2350109.4716370609</v>
      </c>
      <c r="K21" s="79">
        <f t="shared" si="6"/>
        <v>0.26939659783666303</v>
      </c>
      <c r="L21" s="80">
        <f t="shared" si="3"/>
        <v>1.3469829891833153E-2</v>
      </c>
    </row>
    <row r="22" spans="2:12" ht="20.100000000000001" customHeight="1" x14ac:dyDescent="0.25">
      <c r="B22" s="77">
        <v>0.06</v>
      </c>
      <c r="C22" s="55">
        <f t="shared" si="0"/>
        <v>10468325.8386</v>
      </c>
      <c r="D22" s="55">
        <f>$C22*('7-Cálculo_Crashing'!$E$9)</f>
        <v>548079.63732092385</v>
      </c>
      <c r="E22" s="79">
        <f t="shared" si="4"/>
        <v>5.235599710700467E-2</v>
      </c>
      <c r="F22" s="80">
        <f t="shared" si="1"/>
        <v>3.1413598264202801E-3</v>
      </c>
      <c r="G22" s="55">
        <f>$C22*('7-Cálculo_Crashing'!$F$9)</f>
        <v>2162448.903111882</v>
      </c>
      <c r="H22" s="79">
        <f t="shared" si="5"/>
        <v>0.20657065288684984</v>
      </c>
      <c r="I22" s="80">
        <f t="shared" si="2"/>
        <v>1.2394239173210992E-2</v>
      </c>
      <c r="J22" s="55">
        <f>$C22*('7-Cálculo_Crashing'!$G$9)</f>
        <v>2820131.3659644728</v>
      </c>
      <c r="K22" s="79">
        <f t="shared" si="6"/>
        <v>0.26939659783666303</v>
      </c>
      <c r="L22" s="80">
        <f t="shared" si="3"/>
        <v>1.6163795870199782E-2</v>
      </c>
    </row>
    <row r="23" spans="2:12" ht="20.100000000000001" customHeight="1" x14ac:dyDescent="0.25">
      <c r="B23" s="77">
        <v>7.0000000000000007E-2</v>
      </c>
      <c r="C23" s="55">
        <f t="shared" si="0"/>
        <v>12213046.811700001</v>
      </c>
      <c r="D23" s="55">
        <f>$C23*('7-Cálculo_Crashing'!$E$9)</f>
        <v>639426.24354107783</v>
      </c>
      <c r="E23" s="79">
        <f t="shared" si="4"/>
        <v>5.2355997107004663E-2</v>
      </c>
      <c r="F23" s="80">
        <f t="shared" si="1"/>
        <v>3.6649197974903268E-3</v>
      </c>
      <c r="G23" s="55">
        <f>$C23*('7-Cálculo_Crashing'!$F$9)</f>
        <v>2522857.053630529</v>
      </c>
      <c r="H23" s="79">
        <f t="shared" si="5"/>
        <v>0.20657065288684984</v>
      </c>
      <c r="I23" s="80">
        <f t="shared" si="2"/>
        <v>1.445994570207949E-2</v>
      </c>
      <c r="J23" s="55">
        <f>$C23*('7-Cálculo_Crashing'!$G$9)</f>
        <v>3290153.2602918851</v>
      </c>
      <c r="K23" s="79">
        <f t="shared" si="6"/>
        <v>0.26939659783666303</v>
      </c>
      <c r="L23" s="80">
        <f t="shared" si="3"/>
        <v>1.8857761848566416E-2</v>
      </c>
    </row>
    <row r="24" spans="2:12" ht="20.100000000000001" customHeight="1" x14ac:dyDescent="0.25">
      <c r="B24" s="77">
        <v>0.08</v>
      </c>
      <c r="C24" s="55">
        <f t="shared" si="0"/>
        <v>13957767.7848</v>
      </c>
      <c r="D24" s="55">
        <f>$C24*('7-Cálculo_Crashing'!$E$9)</f>
        <v>730772.8497612318</v>
      </c>
      <c r="E24" s="79">
        <f t="shared" si="4"/>
        <v>5.235599710700467E-2</v>
      </c>
      <c r="F24" s="80">
        <f t="shared" si="1"/>
        <v>4.1884797685603735E-3</v>
      </c>
      <c r="G24" s="55">
        <f>$C24*('7-Cálculo_Crashing'!$F$9)</f>
        <v>2883265.2041491759</v>
      </c>
      <c r="H24" s="79">
        <f t="shared" si="5"/>
        <v>0.20657065288684984</v>
      </c>
      <c r="I24" s="80">
        <f t="shared" si="2"/>
        <v>1.6525652230947988E-2</v>
      </c>
      <c r="J24" s="55">
        <f>$C24*('7-Cálculo_Crashing'!$G$9)</f>
        <v>3760175.1546192965</v>
      </c>
      <c r="K24" s="79">
        <f t="shared" si="6"/>
        <v>0.26939659783666303</v>
      </c>
      <c r="L24" s="80">
        <f t="shared" si="3"/>
        <v>2.1551727826933043E-2</v>
      </c>
    </row>
    <row r="25" spans="2:12" ht="20.100000000000001" customHeight="1" x14ac:dyDescent="0.25">
      <c r="B25" s="77">
        <v>0.09</v>
      </c>
      <c r="C25" s="55">
        <f t="shared" si="0"/>
        <v>15702488.7579</v>
      </c>
      <c r="D25" s="55">
        <f>$C25*('7-Cálculo_Crashing'!$E$9)</f>
        <v>822119.45598138578</v>
      </c>
      <c r="E25" s="79">
        <f t="shared" si="4"/>
        <v>5.235599710700467E-2</v>
      </c>
      <c r="F25" s="80">
        <f t="shared" si="1"/>
        <v>4.7120397396304206E-3</v>
      </c>
      <c r="G25" s="55">
        <f>$C25*('7-Cálculo_Crashing'!$F$9)</f>
        <v>3243673.3546678228</v>
      </c>
      <c r="H25" s="79">
        <f t="shared" si="5"/>
        <v>0.20657065288684984</v>
      </c>
      <c r="I25" s="80">
        <f t="shared" si="2"/>
        <v>1.8591358759816486E-2</v>
      </c>
      <c r="J25" s="55">
        <f>$C25*('7-Cálculo_Crashing'!$G$9)</f>
        <v>4230197.0489467084</v>
      </c>
      <c r="K25" s="79">
        <f t="shared" si="6"/>
        <v>0.26939659783666303</v>
      </c>
      <c r="L25" s="80">
        <f t="shared" si="3"/>
        <v>2.4245693805299669E-2</v>
      </c>
    </row>
    <row r="26" spans="2:12" ht="20.100000000000001" customHeight="1" x14ac:dyDescent="0.25">
      <c r="B26" s="77">
        <v>0.1</v>
      </c>
      <c r="C26" s="55">
        <f t="shared" si="0"/>
        <v>17447209.731000002</v>
      </c>
      <c r="D26" s="55">
        <f>$C26*('7-Cálculo_Crashing'!$E$9)</f>
        <v>913466.06220153987</v>
      </c>
      <c r="E26" s="79">
        <f t="shared" si="4"/>
        <v>5.235599710700467E-2</v>
      </c>
      <c r="F26" s="81">
        <f t="shared" si="1"/>
        <v>5.2355997107004677E-3</v>
      </c>
      <c r="G26" s="55">
        <f>$C26*('7-Cálculo_Crashing'!$F$9)</f>
        <v>3604081.5051864702</v>
      </c>
      <c r="H26" s="79">
        <f t="shared" si="5"/>
        <v>0.20657065288684984</v>
      </c>
      <c r="I26" s="81">
        <f t="shared" si="2"/>
        <v>2.0657065288684988E-2</v>
      </c>
      <c r="J26" s="55">
        <f>$C26*('7-Cálculo_Crashing'!$G$9)</f>
        <v>4700218.9432741217</v>
      </c>
      <c r="K26" s="79">
        <f t="shared" si="6"/>
        <v>0.26939659783666303</v>
      </c>
      <c r="L26" s="81">
        <f t="shared" si="3"/>
        <v>2.6939659783666307E-2</v>
      </c>
    </row>
    <row r="27" spans="2:12" ht="20.100000000000001" customHeight="1" x14ac:dyDescent="0.25">
      <c r="B27" s="77">
        <v>0.15</v>
      </c>
      <c r="C27" s="55">
        <f t="shared" si="0"/>
        <v>26170814.596499998</v>
      </c>
      <c r="D27" s="55">
        <f>$C27*('7-Cálculo_Crashing'!$E$9)</f>
        <v>1370199.0933023095</v>
      </c>
      <c r="E27" s="79">
        <f t="shared" si="4"/>
        <v>5.235599710700467E-2</v>
      </c>
      <c r="F27" s="80">
        <f t="shared" si="1"/>
        <v>7.8533995660506999E-3</v>
      </c>
      <c r="G27" s="55">
        <f>$C27*('7-Cálculo_Crashing'!$F$9)</f>
        <v>5406122.2577797044</v>
      </c>
      <c r="H27" s="79">
        <f t="shared" si="5"/>
        <v>0.20657065288684984</v>
      </c>
      <c r="I27" s="80">
        <f t="shared" si="2"/>
        <v>3.0985597933027475E-2</v>
      </c>
      <c r="J27" s="55">
        <f>$C27*('7-Cálculo_Crashing'!$G$9)</f>
        <v>7050328.4149111807</v>
      </c>
      <c r="K27" s="79">
        <f t="shared" si="6"/>
        <v>0.26939659783666303</v>
      </c>
      <c r="L27" s="80">
        <f t="shared" si="3"/>
        <v>4.0409489675499455E-2</v>
      </c>
    </row>
    <row r="28" spans="2:12" ht="20.100000000000001" customHeight="1" x14ac:dyDescent="0.25">
      <c r="B28" s="77">
        <v>0.2</v>
      </c>
      <c r="C28" s="55">
        <f t="shared" si="0"/>
        <v>34894419.462000005</v>
      </c>
      <c r="D28" s="55">
        <f>$C28*('7-Cálculo_Crashing'!$E$9)</f>
        <v>1826932.1244030797</v>
      </c>
      <c r="E28" s="79">
        <f t="shared" si="4"/>
        <v>5.235599710700467E-2</v>
      </c>
      <c r="F28" s="80">
        <f t="shared" si="1"/>
        <v>1.0471199421400935E-2</v>
      </c>
      <c r="G28" s="55">
        <f>$C28*('7-Cálculo_Crashing'!$F$9)</f>
        <v>7208163.0103729405</v>
      </c>
      <c r="H28" s="79">
        <f t="shared" si="5"/>
        <v>0.20657065288684984</v>
      </c>
      <c r="I28" s="80">
        <f t="shared" si="2"/>
        <v>4.1314130577369976E-2</v>
      </c>
      <c r="J28" s="55">
        <f>$C28*('7-Cálculo_Crashing'!$G$9)</f>
        <v>9400437.8865482435</v>
      </c>
      <c r="K28" s="79">
        <f t="shared" si="6"/>
        <v>0.26939659783666303</v>
      </c>
      <c r="L28" s="80">
        <f t="shared" si="3"/>
        <v>5.3879319567332613E-2</v>
      </c>
    </row>
    <row r="29" spans="2:12" ht="20.100000000000001" customHeight="1" x14ac:dyDescent="0.25">
      <c r="B29" s="77">
        <v>0.25</v>
      </c>
      <c r="C29" s="55">
        <f t="shared" si="0"/>
        <v>43618024.327500001</v>
      </c>
      <c r="D29" s="55">
        <f>$C29*('7-Cálculo_Crashing'!$E$9)</f>
        <v>2283665.1555038495</v>
      </c>
      <c r="E29" s="79">
        <f t="shared" si="4"/>
        <v>5.235599710700467E-2</v>
      </c>
      <c r="F29" s="80">
        <f t="shared" si="1"/>
        <v>1.3088999276751168E-2</v>
      </c>
      <c r="G29" s="55">
        <f>$C29*('7-Cálculo_Crashing'!$F$9)</f>
        <v>9010203.7629661746</v>
      </c>
      <c r="H29" s="79">
        <f t="shared" si="5"/>
        <v>0.20657065288684984</v>
      </c>
      <c r="I29" s="80">
        <f t="shared" si="2"/>
        <v>5.1642663221712459E-2</v>
      </c>
      <c r="J29" s="55">
        <f>$C29*('7-Cálculo_Crashing'!$G$9)</f>
        <v>11750547.358185302</v>
      </c>
      <c r="K29" s="79">
        <f t="shared" si="6"/>
        <v>0.26939659783666303</v>
      </c>
      <c r="L29" s="80">
        <f t="shared" si="3"/>
        <v>6.7349149459165758E-2</v>
      </c>
    </row>
    <row r="30" spans="2:12" ht="20.100000000000001" customHeight="1" x14ac:dyDescent="0.25">
      <c r="B30" s="77">
        <v>0.3</v>
      </c>
      <c r="C30" s="55">
        <f t="shared" si="0"/>
        <v>52341629.192999996</v>
      </c>
      <c r="D30" s="55">
        <f>$C30*('7-Cálculo_Crashing'!$E$9)</f>
        <v>2740398.186604619</v>
      </c>
      <c r="E30" s="79">
        <f t="shared" si="4"/>
        <v>5.235599710700467E-2</v>
      </c>
      <c r="F30" s="80">
        <f t="shared" si="1"/>
        <v>1.57067991321014E-2</v>
      </c>
      <c r="G30" s="55">
        <f>$C30*('7-Cálculo_Crashing'!$F$9)</f>
        <v>10812244.515559409</v>
      </c>
      <c r="H30" s="79">
        <f t="shared" si="5"/>
        <v>0.20657065288684984</v>
      </c>
      <c r="I30" s="80">
        <f t="shared" si="2"/>
        <v>6.197119586605495E-2</v>
      </c>
      <c r="J30" s="55">
        <f>$C30*('7-Cálculo_Crashing'!$G$9)</f>
        <v>14100656.829822361</v>
      </c>
      <c r="K30" s="79">
        <f t="shared" si="6"/>
        <v>0.26939659783666303</v>
      </c>
      <c r="L30" s="80">
        <f t="shared" si="3"/>
        <v>8.081897935099891E-2</v>
      </c>
    </row>
    <row r="31" spans="2:12" ht="20.100000000000001" customHeight="1" x14ac:dyDescent="0.25">
      <c r="B31" s="77">
        <v>0.4</v>
      </c>
      <c r="C31" s="55">
        <f t="shared" si="0"/>
        <v>69788838.92400001</v>
      </c>
      <c r="D31" s="55">
        <f>$C31*('7-Cálculo_Crashing'!$E$9)</f>
        <v>3653864.2488061595</v>
      </c>
      <c r="E31" s="79">
        <f t="shared" si="4"/>
        <v>5.235599710700467E-2</v>
      </c>
      <c r="F31" s="80">
        <f t="shared" si="1"/>
        <v>2.0942398842801871E-2</v>
      </c>
      <c r="G31" s="55">
        <f>$C31*('7-Cálculo_Crashing'!$F$9)</f>
        <v>14416326.020745881</v>
      </c>
      <c r="H31" s="79">
        <f t="shared" si="5"/>
        <v>0.20657065288684984</v>
      </c>
      <c r="I31" s="80">
        <f t="shared" si="2"/>
        <v>8.2628261154739951E-2</v>
      </c>
      <c r="J31" s="55">
        <f>$C31*('7-Cálculo_Crashing'!$G$9)</f>
        <v>18800875.773096487</v>
      </c>
      <c r="K31" s="79">
        <f t="shared" si="6"/>
        <v>0.26939659783666303</v>
      </c>
      <c r="L31" s="80">
        <f t="shared" si="3"/>
        <v>0.10775863913466523</v>
      </c>
    </row>
    <row r="32" spans="2:12" ht="20.100000000000001" customHeight="1" x14ac:dyDescent="0.25">
      <c r="B32" s="77">
        <v>0.5</v>
      </c>
      <c r="C32" s="55">
        <f t="shared" si="0"/>
        <v>87236048.655000001</v>
      </c>
      <c r="D32" s="55">
        <f>$C32*('7-Cálculo_Crashing'!$E$9)</f>
        <v>4567330.311007699</v>
      </c>
      <c r="E32" s="79">
        <f t="shared" si="4"/>
        <v>5.235599710700467E-2</v>
      </c>
      <c r="F32" s="80">
        <f t="shared" si="1"/>
        <v>2.6177998553502335E-2</v>
      </c>
      <c r="G32" s="55">
        <f>$C32*('7-Cálculo_Crashing'!$F$9)</f>
        <v>18020407.525932349</v>
      </c>
      <c r="H32" s="79">
        <f t="shared" si="5"/>
        <v>0.20657065288684984</v>
      </c>
      <c r="I32" s="80">
        <f t="shared" si="2"/>
        <v>0.10328532644342492</v>
      </c>
      <c r="J32" s="55">
        <f>$C32*('7-Cálculo_Crashing'!$G$9)</f>
        <v>23501094.716370605</v>
      </c>
      <c r="K32" s="79">
        <f t="shared" si="6"/>
        <v>0.26939659783666303</v>
      </c>
      <c r="L32" s="80">
        <f t="shared" si="3"/>
        <v>0.13469829891833152</v>
      </c>
    </row>
    <row r="33" spans="2:12" ht="20.100000000000001" customHeight="1" x14ac:dyDescent="0.25">
      <c r="B33" s="77">
        <v>0.6</v>
      </c>
      <c r="C33" s="55">
        <f t="shared" si="0"/>
        <v>104683258.38599999</v>
      </c>
      <c r="D33" s="55">
        <f>$C33*('7-Cálculo_Crashing'!$E$9)</f>
        <v>5480796.3732092381</v>
      </c>
      <c r="E33" s="79">
        <f t="shared" si="4"/>
        <v>5.235599710700467E-2</v>
      </c>
      <c r="F33" s="80">
        <f t="shared" si="1"/>
        <v>3.1413598264202799E-2</v>
      </c>
      <c r="G33" s="55">
        <f>$C33*('7-Cálculo_Crashing'!$F$9)</f>
        <v>21624489.031118818</v>
      </c>
      <c r="H33" s="79">
        <f t="shared" si="5"/>
        <v>0.20657065288684984</v>
      </c>
      <c r="I33" s="80">
        <f t="shared" si="2"/>
        <v>0.1239423917321099</v>
      </c>
      <c r="J33" s="55">
        <f>$C33*('7-Cálculo_Crashing'!$G$9)</f>
        <v>28201313.659644723</v>
      </c>
      <c r="K33" s="79">
        <f t="shared" si="6"/>
        <v>0.26939659783666303</v>
      </c>
      <c r="L33" s="80">
        <f t="shared" si="3"/>
        <v>0.16163795870199782</v>
      </c>
    </row>
    <row r="34" spans="2:12" ht="20.100000000000001" customHeight="1" x14ac:dyDescent="0.25">
      <c r="B34" s="77">
        <v>0.7</v>
      </c>
      <c r="C34" s="55">
        <f t="shared" si="0"/>
        <v>122130468.117</v>
      </c>
      <c r="D34" s="55">
        <f>$C34*('7-Cálculo_Crashing'!$E$9)</f>
        <v>6394262.435410778</v>
      </c>
      <c r="E34" s="79">
        <f t="shared" si="4"/>
        <v>5.235599710700467E-2</v>
      </c>
      <c r="F34" s="80">
        <f t="shared" si="1"/>
        <v>3.6649197974903271E-2</v>
      </c>
      <c r="G34" s="55">
        <f>$C34*('7-Cálculo_Crashing'!$F$9)</f>
        <v>25228570.536305286</v>
      </c>
      <c r="H34" s="79">
        <f t="shared" si="5"/>
        <v>0.20657065288684981</v>
      </c>
      <c r="I34" s="80">
        <f t="shared" si="2"/>
        <v>0.14459945702079488</v>
      </c>
      <c r="J34" s="55">
        <f>$C34*('7-Cálculo_Crashing'!$G$9)</f>
        <v>32901532.602918845</v>
      </c>
      <c r="K34" s="79">
        <f t="shared" si="6"/>
        <v>0.26939659783666303</v>
      </c>
      <c r="L34" s="80">
        <f t="shared" si="3"/>
        <v>0.18857761848566412</v>
      </c>
    </row>
    <row r="35" spans="2:12" ht="20.100000000000001" customHeight="1" x14ac:dyDescent="0.25">
      <c r="B35" s="77">
        <v>0.8</v>
      </c>
      <c r="C35" s="55">
        <f t="shared" si="0"/>
        <v>139577677.84800002</v>
      </c>
      <c r="D35" s="55">
        <f>$C35*('7-Cálculo_Crashing'!$E$9)</f>
        <v>7307728.497612319</v>
      </c>
      <c r="E35" s="79">
        <f t="shared" si="4"/>
        <v>5.235599710700467E-2</v>
      </c>
      <c r="F35" s="80">
        <f t="shared" si="1"/>
        <v>4.1884797685603742E-2</v>
      </c>
      <c r="G35" s="55">
        <f>$C35*('7-Cálculo_Crashing'!$F$9)</f>
        <v>28832652.041491762</v>
      </c>
      <c r="H35" s="79">
        <f t="shared" si="5"/>
        <v>0.20657065288684984</v>
      </c>
      <c r="I35" s="80">
        <f t="shared" si="2"/>
        <v>0.1652565223094799</v>
      </c>
      <c r="J35" s="55">
        <f>$C35*('7-Cálculo_Crashing'!$G$9)</f>
        <v>37601751.546192974</v>
      </c>
      <c r="K35" s="79">
        <f t="shared" si="6"/>
        <v>0.26939659783666303</v>
      </c>
      <c r="L35" s="80">
        <f t="shared" si="3"/>
        <v>0.21551727826933045</v>
      </c>
    </row>
    <row r="36" spans="2:12" ht="20.100000000000001" customHeight="1" x14ac:dyDescent="0.25">
      <c r="B36" s="77">
        <v>0.9</v>
      </c>
      <c r="C36" s="55">
        <f t="shared" si="0"/>
        <v>157024887.579</v>
      </c>
      <c r="D36" s="55">
        <f>$C36*('7-Cálculo_Crashing'!$E$9)</f>
        <v>8221194.5598138571</v>
      </c>
      <c r="E36" s="79">
        <f t="shared" si="4"/>
        <v>5.235599710700467E-2</v>
      </c>
      <c r="F36" s="80">
        <f t="shared" si="1"/>
        <v>4.7120397396304199E-2</v>
      </c>
      <c r="G36" s="55">
        <f>$C36*('7-Cálculo_Crashing'!$F$9)</f>
        <v>32436733.546678226</v>
      </c>
      <c r="H36" s="79">
        <f t="shared" si="5"/>
        <v>0.20657065288684984</v>
      </c>
      <c r="I36" s="80">
        <f t="shared" si="2"/>
        <v>0.18591358759816484</v>
      </c>
      <c r="J36" s="55">
        <f>$C36*('7-Cálculo_Crashing'!$G$9)</f>
        <v>42301970.489467084</v>
      </c>
      <c r="K36" s="79">
        <f t="shared" si="6"/>
        <v>0.26939659783666303</v>
      </c>
      <c r="L36" s="80">
        <f t="shared" si="3"/>
        <v>0.2424569380529967</v>
      </c>
    </row>
    <row r="37" spans="2:12" ht="20.100000000000001" customHeight="1" x14ac:dyDescent="0.25">
      <c r="B37" s="77">
        <v>1</v>
      </c>
      <c r="C37" s="55">
        <f t="shared" si="0"/>
        <v>174472097.31</v>
      </c>
      <c r="D37" s="55">
        <f>$C37*('7-Cálculo_Crashing'!$E$9)</f>
        <v>9134660.622015398</v>
      </c>
      <c r="E37" s="79">
        <f t="shared" si="4"/>
        <v>5.235599710700467E-2</v>
      </c>
      <c r="F37" s="80">
        <f t="shared" si="1"/>
        <v>5.235599710700467E-2</v>
      </c>
      <c r="G37" s="55">
        <f>$C37*('7-Cálculo_Crashing'!$F$9)</f>
        <v>36040815.051864699</v>
      </c>
      <c r="H37" s="79">
        <f t="shared" si="5"/>
        <v>0.20657065288684984</v>
      </c>
      <c r="I37" s="80">
        <f t="shared" si="2"/>
        <v>0.20657065288684984</v>
      </c>
      <c r="J37" s="55">
        <f>$C37*('7-Cálculo_Crashing'!$G$9)</f>
        <v>47002189.43274121</v>
      </c>
      <c r="K37" s="79">
        <f t="shared" si="6"/>
        <v>0.26939659783666303</v>
      </c>
      <c r="L37" s="80">
        <f t="shared" si="3"/>
        <v>0.26939659783666303</v>
      </c>
    </row>
  </sheetData>
  <mergeCells count="4">
    <mergeCell ref="B15:C15"/>
    <mergeCell ref="D15:F15"/>
    <mergeCell ref="G15:I15"/>
    <mergeCell ref="J15:L15"/>
  </mergeCells>
  <pageMargins left="0.51181102362204722" right="0.51181102362204722" top="0.78740157480314965" bottom="0.78740157480314965" header="0.31496062992125984" footer="0.31496062992125984"/>
  <pageSetup paperSize="9" scale="6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AE13-BFE6-41B1-872A-5FEC67460FC6}">
  <dimension ref="B2:N48"/>
  <sheetViews>
    <sheetView showGridLines="0" zoomScale="70" zoomScaleNormal="70" workbookViewId="0">
      <selection activeCell="B24" sqref="B24"/>
    </sheetView>
  </sheetViews>
  <sheetFormatPr defaultColWidth="10.81640625" defaultRowHeight="15" x14ac:dyDescent="0.25"/>
  <cols>
    <col min="1" max="1" width="3.36328125" style="1" customWidth="1"/>
    <col min="2" max="2" width="29.54296875" style="1" customWidth="1"/>
    <col min="3" max="3" width="22.1796875" style="1" customWidth="1"/>
    <col min="4" max="4" width="18.6328125" style="1" customWidth="1"/>
    <col min="5" max="14" width="15.81640625" style="1" customWidth="1"/>
    <col min="15" max="15" width="3.36328125" style="1" customWidth="1"/>
    <col min="16" max="16384" width="10.81640625" style="1"/>
  </cols>
  <sheetData>
    <row r="2" spans="2:14" ht="20.100000000000001" customHeight="1" x14ac:dyDescent="0.25">
      <c r="B2" s="50" t="s">
        <v>260</v>
      </c>
      <c r="C2" s="50"/>
      <c r="D2" s="50"/>
      <c r="E2" s="50"/>
    </row>
    <row r="3" spans="2:14" ht="20.100000000000001" customHeight="1" thickBot="1" x14ac:dyDescent="0.3">
      <c r="B3" s="50"/>
      <c r="C3" s="50"/>
      <c r="D3" s="50"/>
      <c r="E3" s="50"/>
    </row>
    <row r="4" spans="2:14" ht="20.100000000000001" customHeight="1" thickBot="1" x14ac:dyDescent="0.3">
      <c r="B4" s="52" t="s">
        <v>262</v>
      </c>
      <c r="C4" s="89">
        <v>0.1</v>
      </c>
      <c r="D4" s="8"/>
      <c r="E4" s="8"/>
      <c r="F4" s="52"/>
      <c r="G4" s="90"/>
    </row>
    <row r="5" spans="2:14" ht="20.100000000000001" customHeight="1" x14ac:dyDescent="0.25">
      <c r="F5" s="59"/>
      <c r="G5" s="59"/>
    </row>
    <row r="6" spans="2:14" ht="20.100000000000001" customHeight="1" x14ac:dyDescent="0.25">
      <c r="B6" s="104" t="s">
        <v>261</v>
      </c>
      <c r="C6" s="104"/>
      <c r="D6" s="104"/>
      <c r="E6" s="104"/>
      <c r="F6" s="105" t="s">
        <v>14</v>
      </c>
      <c r="G6" s="105"/>
      <c r="H6" s="105"/>
      <c r="I6" s="104" t="s">
        <v>15</v>
      </c>
      <c r="J6" s="104"/>
      <c r="K6" s="104"/>
      <c r="L6" s="104" t="s">
        <v>16</v>
      </c>
      <c r="M6" s="104"/>
      <c r="N6" s="104"/>
    </row>
    <row r="7" spans="2:14" s="19" customFormat="1" ht="35.1" customHeight="1" x14ac:dyDescent="0.25">
      <c r="B7" s="58" t="s">
        <v>18</v>
      </c>
      <c r="C7" s="58" t="s">
        <v>263</v>
      </c>
      <c r="D7" s="58" t="s">
        <v>264</v>
      </c>
      <c r="E7" s="58" t="s">
        <v>11</v>
      </c>
      <c r="F7" s="58" t="s">
        <v>224</v>
      </c>
      <c r="G7" s="58" t="s">
        <v>242</v>
      </c>
      <c r="H7" s="58" t="s">
        <v>241</v>
      </c>
      <c r="I7" s="58" t="s">
        <v>224</v>
      </c>
      <c r="J7" s="58" t="s">
        <v>242</v>
      </c>
      <c r="K7" s="58" t="s">
        <v>223</v>
      </c>
      <c r="L7" s="58" t="s">
        <v>224</v>
      </c>
      <c r="M7" s="58" t="s">
        <v>242</v>
      </c>
      <c r="N7" s="58" t="s">
        <v>223</v>
      </c>
    </row>
    <row r="8" spans="2:14" x14ac:dyDescent="0.25">
      <c r="B8" s="6" t="s">
        <v>52</v>
      </c>
      <c r="C8" s="55">
        <f>VLOOKUP(B8,'1-Valor_Unitário_Economia'!$A$1:$F$42,6,)</f>
        <v>194200000</v>
      </c>
      <c r="D8" s="55">
        <f>VLOOKUP(B8,'1-Valor_Unitário_Economia'!$A$1:$J$42,10,)*VLOOKUP(B8,'1-Valor_Unitário_Economia'!$A$1:$L$42,12)</f>
        <v>161296663.50839198</v>
      </c>
      <c r="E8" s="55">
        <f>D8*$C$4</f>
        <v>16129666.350839198</v>
      </c>
      <c r="F8" s="55">
        <f>E8*'7-Cálculo_Crashing'!$E$9</f>
        <v>844484.76480148756</v>
      </c>
      <c r="G8" s="79">
        <f t="shared" ref="G8:G48" si="0">IF(AND(ISNUMBER(E8), ISNUMBER(F8), E8&gt;0, F8&gt;0), F8/E8, 0)</f>
        <v>5.235599710700467E-2</v>
      </c>
      <c r="H8" s="80">
        <f>F8/C8</f>
        <v>4.348531229667804E-3</v>
      </c>
      <c r="I8" s="55">
        <f>E8*'7-Cálculo_Crashing'!$F$9</f>
        <v>3331915.7089399057</v>
      </c>
      <c r="J8" s="79">
        <f t="shared" ref="J8:J48" si="1">IF(AND(ISNUMBER(E8), ISNUMBER(I8), E8&gt;0, I8&gt;0), I8/E8, 0)</f>
        <v>0.20657065288684984</v>
      </c>
      <c r="K8" s="80">
        <f>I8/C8</f>
        <v>1.715713547342897E-2</v>
      </c>
      <c r="L8" s="55">
        <f>E8*'7-Cálculo_Crashing'!$G$9</f>
        <v>4345277.2391565833</v>
      </c>
      <c r="M8" s="79">
        <f>IF(AND(ISNUMBER(E8), ISNUMBER(L8), E8&gt;0, L8&gt;0), L8/E8, 0)</f>
        <v>0.26939659783666303</v>
      </c>
      <c r="N8" s="80">
        <f>L8/C8</f>
        <v>2.2375268996686834E-2</v>
      </c>
    </row>
    <row r="9" spans="2:14" x14ac:dyDescent="0.25">
      <c r="B9" s="6" t="s">
        <v>64</v>
      </c>
      <c r="C9" s="55">
        <f>VLOOKUP(B9,'1-Valor_Unitário_Economia'!$A$1:$F$42,6,)</f>
        <v>174472097.31</v>
      </c>
      <c r="D9" s="55">
        <f>VLOOKUP(B9,'1-Valor_Unitário_Economia'!$A$1:$J$42,10,)*VLOOKUP(B9,'1-Valor_Unitário_Economia'!$A$1:$L$42,12)</f>
        <v>174472097.31</v>
      </c>
      <c r="E9" s="55">
        <f t="shared" ref="E9:E48" si="2">D9*$C$4</f>
        <v>17447209.731000002</v>
      </c>
      <c r="F9" s="55">
        <f>E9*'7-Cálculo_Crashing'!$E$9</f>
        <v>913466.06220153987</v>
      </c>
      <c r="G9" s="79">
        <f t="shared" si="0"/>
        <v>5.235599710700467E-2</v>
      </c>
      <c r="H9" s="80">
        <f t="shared" ref="H9:H48" si="3">F9/C9</f>
        <v>5.2355997107004677E-3</v>
      </c>
      <c r="I9" s="55">
        <f>E9*'7-Cálculo_Crashing'!$F$9</f>
        <v>3604081.5051864702</v>
      </c>
      <c r="J9" s="79">
        <f t="shared" si="1"/>
        <v>0.20657065288684984</v>
      </c>
      <c r="K9" s="80">
        <f t="shared" ref="K9:K48" si="4">I9/C9</f>
        <v>2.0657065288684988E-2</v>
      </c>
      <c r="L9" s="55">
        <f>E9*'7-Cálculo_Crashing'!$G$9</f>
        <v>4700218.9432741217</v>
      </c>
      <c r="M9" s="79">
        <f t="shared" ref="M9:M48" si="5">IF(AND(ISNUMBER(E9), ISNUMBER(L9), E9&gt;0, L9&gt;0), L9/E9, 0)</f>
        <v>0.26939659783666303</v>
      </c>
      <c r="N9" s="80">
        <f t="shared" ref="N9:N48" si="6">L9/C9</f>
        <v>2.6939659783666307E-2</v>
      </c>
    </row>
    <row r="10" spans="2:14" x14ac:dyDescent="0.25">
      <c r="B10" s="6" t="s">
        <v>56</v>
      </c>
      <c r="C10" s="55">
        <f>VLOOKUP(B10,'1-Valor_Unitário_Economia'!$A$1:$F$42,6,)</f>
        <v>185222950.75999999</v>
      </c>
      <c r="D10" s="55">
        <f>VLOOKUP(B10,'1-Valor_Unitário_Economia'!$A$1:$J$42,10,)*VLOOKUP(B10,'1-Valor_Unitário_Economia'!$A$1:$L$42,12)</f>
        <v>185222950.75999999</v>
      </c>
      <c r="E10" s="55">
        <f t="shared" si="2"/>
        <v>18522295.076000001</v>
      </c>
      <c r="F10" s="55">
        <f>E10*'7-Cálculo_Crashing'!$E$9</f>
        <v>969753.22741414292</v>
      </c>
      <c r="G10" s="79">
        <f t="shared" si="0"/>
        <v>5.235599710700467E-2</v>
      </c>
      <c r="H10" s="80">
        <f t="shared" si="3"/>
        <v>5.2355997107004677E-3</v>
      </c>
      <c r="I10" s="55">
        <f>E10*'7-Cálculo_Crashing'!$F$9</f>
        <v>3826162.5868122042</v>
      </c>
      <c r="J10" s="79">
        <f t="shared" si="1"/>
        <v>0.20657065288684984</v>
      </c>
      <c r="K10" s="80">
        <f t="shared" si="4"/>
        <v>2.0657065288684988E-2</v>
      </c>
      <c r="L10" s="55">
        <f>E10*'7-Cálculo_Crashing'!$G$9</f>
        <v>4989843.2776011759</v>
      </c>
      <c r="M10" s="79">
        <f t="shared" si="5"/>
        <v>0.26939659783666303</v>
      </c>
      <c r="N10" s="80">
        <f t="shared" si="6"/>
        <v>2.6939659783666303E-2</v>
      </c>
    </row>
    <row r="11" spans="2:14" x14ac:dyDescent="0.25">
      <c r="B11" s="68" t="s">
        <v>76</v>
      </c>
      <c r="C11" s="55">
        <f>VLOOKUP(B11,'1-Valor_Unitário_Economia'!$A$1:$F$42,6,)</f>
        <v>320192708.77999997</v>
      </c>
      <c r="D11" s="55">
        <f>VLOOKUP(B11,'1-Valor_Unitário_Economia'!$A$1:$J$42,10,)*VLOOKUP(B11,'1-Valor_Unitário_Economia'!$A$1:$L$42,12)</f>
        <v>141428948.74873516</v>
      </c>
      <c r="E11" s="55">
        <f t="shared" si="2"/>
        <v>14142894.874873517</v>
      </c>
      <c r="F11" s="55">
        <f>E11*'7-Cálculo_Crashing'!$E$9</f>
        <v>740465.36315354903</v>
      </c>
      <c r="G11" s="79">
        <f t="shared" si="0"/>
        <v>5.235599710700467E-2</v>
      </c>
      <c r="H11" s="80">
        <f t="shared" si="3"/>
        <v>2.3125616007150015E-3</v>
      </c>
      <c r="I11" s="55">
        <f>E11*'7-Cálculo_Crashing'!$F$9</f>
        <v>2921507.028012705</v>
      </c>
      <c r="J11" s="79">
        <f t="shared" si="1"/>
        <v>0.20657065288684984</v>
      </c>
      <c r="K11" s="80">
        <f t="shared" si="4"/>
        <v>9.1242147241398699E-3</v>
      </c>
      <c r="L11" s="55">
        <f>E11*'7-Cálculo_Crashing'!$G$9</f>
        <v>3810047.7628525035</v>
      </c>
      <c r="M11" s="79">
        <f t="shared" si="5"/>
        <v>0.26939659783666303</v>
      </c>
      <c r="N11" s="80">
        <f t="shared" si="6"/>
        <v>1.1899233362838175E-2</v>
      </c>
    </row>
    <row r="12" spans="2:14" x14ac:dyDescent="0.25">
      <c r="B12" s="6" t="s">
        <v>84</v>
      </c>
      <c r="C12" s="55">
        <f>VLOOKUP(B12,'1-Valor_Unitário_Economia'!$A$1:$F$42,6,)</f>
        <v>149282604.63</v>
      </c>
      <c r="D12" s="55">
        <f>VLOOKUP(B12,'1-Valor_Unitário_Economia'!$A$1:$J$42,10,)*VLOOKUP(B12,'1-Valor_Unitário_Economia'!$A$1:$L$42,12)</f>
        <v>59724428.778363846</v>
      </c>
      <c r="E12" s="55">
        <f t="shared" si="2"/>
        <v>5972442.8778363848</v>
      </c>
      <c r="F12" s="55">
        <f>E12*'7-Cálculo_Crashing'!$E$9</f>
        <v>312693.2020337524</v>
      </c>
      <c r="G12" s="79">
        <f t="shared" si="0"/>
        <v>5.235599710700467E-2</v>
      </c>
      <c r="H12" s="80">
        <f t="shared" si="3"/>
        <v>2.0946392435258546E-3</v>
      </c>
      <c r="I12" s="55">
        <f>E12*'7-Cálculo_Crashing'!$F$9</f>
        <v>1233731.4246040783</v>
      </c>
      <c r="J12" s="79">
        <f t="shared" si="1"/>
        <v>0.20657065288684984</v>
      </c>
      <c r="K12" s="80">
        <f t="shared" si="4"/>
        <v>8.2644017878835043E-3</v>
      </c>
      <c r="L12" s="55">
        <f>E12*'7-Cálculo_Crashing'!$G$9</f>
        <v>1608955.792062931</v>
      </c>
      <c r="M12" s="79">
        <f t="shared" si="5"/>
        <v>0.26939659783666303</v>
      </c>
      <c r="N12" s="80">
        <f t="shared" si="6"/>
        <v>1.0777918807424087E-2</v>
      </c>
    </row>
    <row r="13" spans="2:14" x14ac:dyDescent="0.25">
      <c r="B13" s="6" t="s">
        <v>180</v>
      </c>
      <c r="C13" s="55">
        <f>VLOOKUP(B13,'1-Valor_Unitário_Economia'!$A$1:$F$42,6,)</f>
        <v>57501876.479999997</v>
      </c>
      <c r="D13" s="55">
        <f>VLOOKUP(B13,'1-Valor_Unitário_Economia'!$A$1:$J$42,10,)*VLOOKUP(B13,'1-Valor_Unitário_Economia'!$A$1:$L$42,12)</f>
        <v>0</v>
      </c>
      <c r="E13" s="55">
        <f t="shared" si="2"/>
        <v>0</v>
      </c>
      <c r="F13" s="55">
        <f>E13*'7-Cálculo_Crashing'!$E$9</f>
        <v>0</v>
      </c>
      <c r="G13" s="79">
        <f>IF(AND(ISNUMBER(E13), ISNUMBER(F13), E13&gt;0, F13&gt;0), F13/E13, 0)</f>
        <v>0</v>
      </c>
      <c r="H13" s="80">
        <f t="shared" si="3"/>
        <v>0</v>
      </c>
      <c r="I13" s="55">
        <f>E13*'7-Cálculo_Crashing'!$F$9</f>
        <v>0</v>
      </c>
      <c r="J13" s="79">
        <f>IF(AND(ISNUMBER(E13), ISNUMBER(I13), E13&gt;0, I13&gt;0), I13/E13, 0)</f>
        <v>0</v>
      </c>
      <c r="K13" s="80">
        <f t="shared" si="4"/>
        <v>0</v>
      </c>
      <c r="L13" s="55">
        <f>E13*'7-Cálculo_Crashing'!$G$9</f>
        <v>0</v>
      </c>
      <c r="M13" s="79">
        <f t="shared" si="5"/>
        <v>0</v>
      </c>
      <c r="N13" s="80">
        <f t="shared" si="6"/>
        <v>0</v>
      </c>
    </row>
    <row r="14" spans="2:14" x14ac:dyDescent="0.25">
      <c r="B14" s="6" t="s">
        <v>108</v>
      </c>
      <c r="C14" s="55">
        <f>VLOOKUP(B14,'1-Valor_Unitário_Economia'!$A$1:$F$42,6,)</f>
        <v>135172277.93000001</v>
      </c>
      <c r="D14" s="55">
        <f>VLOOKUP(B14,'1-Valor_Unitário_Economia'!$A$1:$J$42,10,)*VLOOKUP(B14,'1-Valor_Unitário_Economia'!$A$1:$L$42,12)</f>
        <v>47659523.464276284</v>
      </c>
      <c r="E14" s="55">
        <f t="shared" si="2"/>
        <v>4765952.3464276288</v>
      </c>
      <c r="F14" s="55">
        <f>E14*'7-Cálculo_Crashing'!$E$9</f>
        <v>249526.18726168704</v>
      </c>
      <c r="G14" s="79">
        <f t="shared" si="0"/>
        <v>5.235599710700467E-2</v>
      </c>
      <c r="H14" s="80">
        <f t="shared" si="3"/>
        <v>1.8459864040384528E-3</v>
      </c>
      <c r="I14" s="55">
        <f>E14*'7-Cálculo_Crashing'!$F$9</f>
        <v>984505.88782916917</v>
      </c>
      <c r="J14" s="79">
        <f t="shared" si="1"/>
        <v>0.20657065288684984</v>
      </c>
      <c r="K14" s="80">
        <f t="shared" si="4"/>
        <v>7.2833416948037454E-3</v>
      </c>
      <c r="L14" s="55">
        <f>E14*'7-Cálculo_Crashing'!$G$9</f>
        <v>1283931.3475792645</v>
      </c>
      <c r="M14" s="79">
        <f t="shared" si="5"/>
        <v>0.26939659783666303</v>
      </c>
      <c r="N14" s="80">
        <f t="shared" si="6"/>
        <v>9.4984812510458556E-3</v>
      </c>
    </row>
    <row r="15" spans="2:14" x14ac:dyDescent="0.25">
      <c r="B15" s="6" t="s">
        <v>48</v>
      </c>
      <c r="C15" s="55" t="e">
        <f>VLOOKUP(B15,'1-Valor_Unitário_Economia'!$A$1:$F$42,6,)</f>
        <v>#N/A</v>
      </c>
      <c r="D15" s="55" t="e">
        <f>VLOOKUP(B15,'1-Valor_Unitário_Economia'!$A$1:$J$42,10,)*VLOOKUP(B15,'1-Valor_Unitário_Economia'!$A$1:$L$42,12)</f>
        <v>#N/A</v>
      </c>
      <c r="E15" s="55" t="e">
        <f t="shared" si="2"/>
        <v>#N/A</v>
      </c>
      <c r="F15" s="55" t="e">
        <f>E15*'7-Cálculo_Crashing'!$E$9</f>
        <v>#N/A</v>
      </c>
      <c r="G15" s="79" t="e">
        <f t="shared" si="0"/>
        <v>#N/A</v>
      </c>
      <c r="H15" s="80" t="e">
        <f t="shared" si="3"/>
        <v>#N/A</v>
      </c>
      <c r="I15" s="55" t="e">
        <f>E15*'7-Cálculo_Crashing'!$F$9</f>
        <v>#N/A</v>
      </c>
      <c r="J15" s="79" t="e">
        <f t="shared" si="1"/>
        <v>#N/A</v>
      </c>
      <c r="K15" s="80" t="e">
        <f t="shared" si="4"/>
        <v>#N/A</v>
      </c>
      <c r="L15" s="55" t="e">
        <f>E15*'7-Cálculo_Crashing'!$G$9</f>
        <v>#N/A</v>
      </c>
      <c r="M15" s="79" t="e">
        <f t="shared" si="5"/>
        <v>#N/A</v>
      </c>
      <c r="N15" s="80" t="e">
        <f t="shared" si="6"/>
        <v>#N/A</v>
      </c>
    </row>
    <row r="16" spans="2:14" x14ac:dyDescent="0.25">
      <c r="B16" s="6" t="s">
        <v>164</v>
      </c>
      <c r="C16" s="55">
        <f>VLOOKUP(B16,'1-Valor_Unitário_Economia'!$A$1:$F$42,6,)</f>
        <v>61262302.670000002</v>
      </c>
      <c r="D16" s="55">
        <f>VLOOKUP(B16,'1-Valor_Unitário_Economia'!$A$1:$J$42,10,)*VLOOKUP(B16,'1-Valor_Unitário_Economia'!$A$1:$L$42,12)</f>
        <v>50883468.084842652</v>
      </c>
      <c r="E16" s="55">
        <f t="shared" si="2"/>
        <v>5088346.8084842656</v>
      </c>
      <c r="F16" s="55">
        <f>E16*'7-Cálculo_Crashing'!$E$9</f>
        <v>266405.47078443866</v>
      </c>
      <c r="G16" s="79">
        <f t="shared" si="0"/>
        <v>5.235599710700467E-2</v>
      </c>
      <c r="H16" s="80">
        <f t="shared" si="3"/>
        <v>4.3486036138647589E-3</v>
      </c>
      <c r="I16" s="55">
        <f>E16*'7-Cálculo_Crashing'!$F$9</f>
        <v>1051103.1223433134</v>
      </c>
      <c r="J16" s="79">
        <f t="shared" si="1"/>
        <v>0.20657065288684984</v>
      </c>
      <c r="K16" s="80">
        <f t="shared" si="4"/>
        <v>1.7157421065369716E-2</v>
      </c>
      <c r="L16" s="55">
        <f>E16*'7-Cálculo_Crashing'!$G$9</f>
        <v>1370783.3188187035</v>
      </c>
      <c r="M16" s="79">
        <f t="shared" si="5"/>
        <v>0.26939659783666303</v>
      </c>
      <c r="N16" s="80">
        <f t="shared" si="6"/>
        <v>2.237564144793357E-2</v>
      </c>
    </row>
    <row r="17" spans="2:14" x14ac:dyDescent="0.25">
      <c r="B17" s="6" t="s">
        <v>176</v>
      </c>
      <c r="C17" s="55">
        <f>VLOOKUP(B17,'1-Valor_Unitário_Economia'!$A$1:$F$42,6,)</f>
        <v>57761767.700000003</v>
      </c>
      <c r="D17" s="55">
        <f>VLOOKUP(B17,'1-Valor_Unitário_Economia'!$A$1:$J$42,10,)*VLOOKUP(B17,'1-Valor_Unitário_Economia'!$A$1:$L$42,12)</f>
        <v>34688999.340620518</v>
      </c>
      <c r="E17" s="55">
        <f t="shared" si="2"/>
        <v>3468899.9340620521</v>
      </c>
      <c r="F17" s="55">
        <f>E17*'7-Cálculo_Crashing'!$E$9</f>
        <v>181617.7149122415</v>
      </c>
      <c r="G17" s="79">
        <f t="shared" si="0"/>
        <v>5.235599710700467E-2</v>
      </c>
      <c r="H17" s="80">
        <f t="shared" si="3"/>
        <v>3.1442547924696129E-3</v>
      </c>
      <c r="I17" s="55">
        <f>E17*'7-Cálculo_Crashing'!$F$9</f>
        <v>716572.92417834839</v>
      </c>
      <c r="J17" s="79">
        <f t="shared" si="1"/>
        <v>0.20657065288684981</v>
      </c>
      <c r="K17" s="80">
        <f t="shared" si="4"/>
        <v>1.2405661265424679E-2</v>
      </c>
      <c r="L17" s="55">
        <f>E17*'7-Cálculo_Crashing'!$G$9</f>
        <v>934509.84047214151</v>
      </c>
      <c r="M17" s="79">
        <f t="shared" si="5"/>
        <v>0.26939659783666303</v>
      </c>
      <c r="N17" s="80">
        <f t="shared" si="6"/>
        <v>1.6178691852468039E-2</v>
      </c>
    </row>
    <row r="18" spans="2:14" x14ac:dyDescent="0.25">
      <c r="B18" s="6" t="s">
        <v>168</v>
      </c>
      <c r="C18" s="55">
        <f>VLOOKUP(B18,'1-Valor_Unitário_Economia'!$A$1:$F$42,6,)</f>
        <v>60261142.579999998</v>
      </c>
      <c r="D18" s="55">
        <f>VLOOKUP(B18,'1-Valor_Unitário_Economia'!$A$1:$J$42,10,)*VLOOKUP(B18,'1-Valor_Unitário_Economia'!$A$1:$L$42,12)</f>
        <v>30872949.734482352</v>
      </c>
      <c r="E18" s="55">
        <f t="shared" si="2"/>
        <v>3087294.9734482355</v>
      </c>
      <c r="F18" s="55">
        <f>E18*'7-Cálculo_Crashing'!$E$9</f>
        <v>161638.40669832588</v>
      </c>
      <c r="G18" s="79">
        <f t="shared" si="0"/>
        <v>5.235599710700467E-2</v>
      </c>
      <c r="H18" s="80">
        <f t="shared" si="3"/>
        <v>2.682299069980991E-3</v>
      </c>
      <c r="I18" s="55">
        <f>E18*'7-Cálculo_Crashing'!$F$9</f>
        <v>637744.53831949178</v>
      </c>
      <c r="J18" s="79">
        <f t="shared" si="1"/>
        <v>0.20657065288684984</v>
      </c>
      <c r="K18" s="80">
        <f t="shared" si="4"/>
        <v>1.0583014377346905E-2</v>
      </c>
      <c r="L18" s="55">
        <f>E18*'7-Cálculo_Crashing'!$G$9</f>
        <v>831706.76236518554</v>
      </c>
      <c r="M18" s="79">
        <f t="shared" si="5"/>
        <v>0.26939659783666303</v>
      </c>
      <c r="N18" s="80">
        <f t="shared" si="6"/>
        <v>1.3801709140530298E-2</v>
      </c>
    </row>
    <row r="19" spans="2:14" x14ac:dyDescent="0.25">
      <c r="B19" s="6" t="s">
        <v>128</v>
      </c>
      <c r="C19" s="55">
        <f>VLOOKUP(B19,'1-Valor_Unitário_Economia'!$A$1:$F$42,6,)</f>
        <v>105933202.53</v>
      </c>
      <c r="D19" s="55">
        <f>VLOOKUP(B19,'1-Valor_Unitário_Economia'!$A$1:$J$42,10,)*VLOOKUP(B19,'1-Valor_Unitário_Economia'!$A$1:$L$42,12)</f>
        <v>71975163.957588539</v>
      </c>
      <c r="E19" s="55">
        <f t="shared" si="2"/>
        <v>7197516.3957588542</v>
      </c>
      <c r="F19" s="55">
        <f>E19*'7-Cálculo_Crashing'!$E$9</f>
        <v>376833.14759396925</v>
      </c>
      <c r="G19" s="79">
        <f t="shared" si="0"/>
        <v>5.235599710700467E-2</v>
      </c>
      <c r="H19" s="80">
        <f t="shared" si="3"/>
        <v>3.5572713615190771E-3</v>
      </c>
      <c r="I19" s="55">
        <f>E19*'7-Cálculo_Crashing'!$F$9</f>
        <v>1486795.6610357128</v>
      </c>
      <c r="J19" s="79">
        <f t="shared" si="1"/>
        <v>0.20657065288684984</v>
      </c>
      <c r="K19" s="80">
        <f t="shared" si="4"/>
        <v>1.4035218661634026E-2</v>
      </c>
      <c r="L19" s="55">
        <f>E19*'7-Cálculo_Crashing'!$G$9</f>
        <v>1938986.4298910364</v>
      </c>
      <c r="M19" s="79">
        <f t="shared" si="5"/>
        <v>0.26939659783666303</v>
      </c>
      <c r="N19" s="80">
        <f t="shared" si="6"/>
        <v>1.8303859258308748E-2</v>
      </c>
    </row>
    <row r="20" spans="2:14" x14ac:dyDescent="0.25">
      <c r="B20" s="6" t="s">
        <v>184</v>
      </c>
      <c r="C20" s="55">
        <f>VLOOKUP(B20,'1-Valor_Unitário_Economia'!$A$1:$F$42,6,)</f>
        <v>30467706.5</v>
      </c>
      <c r="D20" s="55">
        <f>VLOOKUP(B20,'1-Valor_Unitário_Economia'!$A$1:$J$42,10,)*VLOOKUP(B20,'1-Valor_Unitário_Economia'!$A$1:$L$42,12)</f>
        <v>25305962.397955872</v>
      </c>
      <c r="E20" s="55">
        <f t="shared" si="2"/>
        <v>2530596.2397955875</v>
      </c>
      <c r="F20" s="55">
        <f>E20*'7-Cálculo_Crashing'!$E$9</f>
        <v>132491.88940973466</v>
      </c>
      <c r="G20" s="79">
        <f t="shared" si="0"/>
        <v>5.2355997107004663E-2</v>
      </c>
      <c r="H20" s="80">
        <f t="shared" si="3"/>
        <v>4.3486006867545042E-3</v>
      </c>
      <c r="I20" s="55">
        <f>E20*'7-Cálculo_Crashing'!$F$9</f>
        <v>522746.91744758171</v>
      </c>
      <c r="J20" s="79">
        <f t="shared" si="1"/>
        <v>0.20657065288684984</v>
      </c>
      <c r="K20" s="80">
        <f t="shared" si="4"/>
        <v>1.7157409516452501E-2</v>
      </c>
      <c r="L20" s="55">
        <f>E20*'7-Cálculo_Crashing'!$G$9</f>
        <v>681734.01749918354</v>
      </c>
      <c r="M20" s="79">
        <f t="shared" si="5"/>
        <v>0.26939659783666303</v>
      </c>
      <c r="N20" s="80">
        <f t="shared" si="6"/>
        <v>2.2375626386554024E-2</v>
      </c>
    </row>
    <row r="21" spans="2:14" x14ac:dyDescent="0.25">
      <c r="B21" s="6" t="s">
        <v>100</v>
      </c>
      <c r="C21" s="55">
        <f>VLOOKUP(B21,'1-Valor_Unitário_Economia'!$A$1:$F$42,6,)</f>
        <v>139601163.24000001</v>
      </c>
      <c r="D21" s="55">
        <f>VLOOKUP(B21,'1-Valor_Unitário_Economia'!$A$1:$J$42,10,)*VLOOKUP(B21,'1-Valor_Unitário_Economia'!$A$1:$L$42,12)</f>
        <v>78961538.564199835</v>
      </c>
      <c r="E21" s="55">
        <f t="shared" si="2"/>
        <v>7896153.8564199843</v>
      </c>
      <c r="F21" s="55">
        <f>E21*'7-Cálculo_Crashing'!$E$9</f>
        <v>413411.00846318848</v>
      </c>
      <c r="G21" s="79">
        <f t="shared" si="0"/>
        <v>5.235599710700467E-2</v>
      </c>
      <c r="H21" s="80">
        <f t="shared" si="3"/>
        <v>2.9613722326400612E-3</v>
      </c>
      <c r="I21" s="55">
        <f>E21*'7-Cálculo_Crashing'!$F$9</f>
        <v>1631113.6574156934</v>
      </c>
      <c r="J21" s="79">
        <f t="shared" si="1"/>
        <v>0.20657065288684984</v>
      </c>
      <c r="K21" s="80">
        <f t="shared" si="4"/>
        <v>1.1684097894023346E-2</v>
      </c>
      <c r="L21" s="55">
        <f>E21*'7-Cálculo_Crashing'!$G$9</f>
        <v>2127196.9849143904</v>
      </c>
      <c r="M21" s="79">
        <f t="shared" si="5"/>
        <v>0.26939659783666303</v>
      </c>
      <c r="N21" s="80">
        <f t="shared" si="6"/>
        <v>1.5237673781108461E-2</v>
      </c>
    </row>
    <row r="22" spans="2:14" x14ac:dyDescent="0.25">
      <c r="B22" s="6" t="s">
        <v>36</v>
      </c>
      <c r="C22" s="55">
        <f>VLOOKUP(B22,'1-Valor_Unitário_Economia'!$A$1:$F$42,6,)</f>
        <v>283639828.37</v>
      </c>
      <c r="D22" s="55">
        <f>VLOOKUP(B22,'1-Valor_Unitário_Economia'!$A$1:$J$42,10,)*VLOOKUP(B22,'1-Valor_Unitário_Economia'!$A$1:$L$42,12)</f>
        <v>283639828.37</v>
      </c>
      <c r="E22" s="55">
        <f t="shared" si="2"/>
        <v>28363982.837000001</v>
      </c>
      <c r="F22" s="55">
        <f>E22*'7-Cálculo_Crashing'!$E$9</f>
        <v>1485024.6033571023</v>
      </c>
      <c r="G22" s="79">
        <f t="shared" si="0"/>
        <v>5.235599710700467E-2</v>
      </c>
      <c r="H22" s="80">
        <f t="shared" si="3"/>
        <v>5.2355997107004677E-3</v>
      </c>
      <c r="I22" s="55">
        <f>E22*'7-Cálculo_Crashing'!$F$9</f>
        <v>5859166.4531104937</v>
      </c>
      <c r="J22" s="79">
        <f t="shared" si="1"/>
        <v>0.20657065288684984</v>
      </c>
      <c r="K22" s="80">
        <f t="shared" si="4"/>
        <v>2.0657065288684984E-2</v>
      </c>
      <c r="L22" s="55">
        <f>E22*'7-Cálculo_Crashing'!$G$9</f>
        <v>7641160.4773853021</v>
      </c>
      <c r="M22" s="79">
        <f t="shared" si="5"/>
        <v>0.26939659783666303</v>
      </c>
      <c r="N22" s="80">
        <f t="shared" si="6"/>
        <v>2.6939659783666303E-2</v>
      </c>
    </row>
    <row r="23" spans="2:14" x14ac:dyDescent="0.25">
      <c r="B23" s="6" t="s">
        <v>148</v>
      </c>
      <c r="C23" s="55">
        <f>VLOOKUP(B23,'1-Valor_Unitário_Economia'!$A$1:$F$42,6,)</f>
        <v>96134214.280000001</v>
      </c>
      <c r="D23" s="55">
        <f>VLOOKUP(B23,'1-Valor_Unitário_Economia'!$A$1:$J$42,10,)*VLOOKUP(B23,'1-Valor_Unitário_Economia'!$A$1:$L$42,12)</f>
        <v>68996644.978769153</v>
      </c>
      <c r="E23" s="55">
        <f t="shared" si="2"/>
        <v>6899664.4978769161</v>
      </c>
      <c r="F23" s="55">
        <f>E23*'7-Cálculo_Crashing'!$E$9</f>
        <v>361238.81449014664</v>
      </c>
      <c r="G23" s="79">
        <f t="shared" si="0"/>
        <v>5.235599710700467E-2</v>
      </c>
      <c r="H23" s="80">
        <f t="shared" si="3"/>
        <v>3.7576508758682355E-3</v>
      </c>
      <c r="I23" s="55">
        <f>E23*'7-Cálculo_Crashing'!$F$9</f>
        <v>1425268.2000266535</v>
      </c>
      <c r="J23" s="79">
        <f t="shared" si="1"/>
        <v>0.20657065288684984</v>
      </c>
      <c r="K23" s="80">
        <f t="shared" si="4"/>
        <v>1.4825816289249786E-2</v>
      </c>
      <c r="L23" s="55">
        <f>E23*'7-Cálculo_Crashing'!$G$9</f>
        <v>1858746.1419424491</v>
      </c>
      <c r="M23" s="79">
        <f t="shared" si="5"/>
        <v>0.26939659783666303</v>
      </c>
      <c r="N23" s="80">
        <f t="shared" si="6"/>
        <v>1.9334907513038749E-2</v>
      </c>
    </row>
    <row r="24" spans="2:14" x14ac:dyDescent="0.25">
      <c r="B24" s="6" t="s">
        <v>112</v>
      </c>
      <c r="C24" s="55">
        <f>VLOOKUP(B24,'1-Valor_Unitário_Economia'!$A$1:$F$42,6,)</f>
        <v>130486144.65000001</v>
      </c>
      <c r="D24" s="55">
        <f>VLOOKUP(B24,'1-Valor_Unitário_Economia'!$A$1:$J$42,10,)*VLOOKUP(B24,'1-Valor_Unitário_Economia'!$A$1:$L$42,12)</f>
        <v>93645184.721752137</v>
      </c>
      <c r="E24" s="55">
        <f t="shared" si="2"/>
        <v>9364518.4721752144</v>
      </c>
      <c r="F24" s="55">
        <f>E24*'7-Cálculo_Crashing'!$E$9</f>
        <v>490288.70203769731</v>
      </c>
      <c r="G24" s="79">
        <f t="shared" si="0"/>
        <v>5.235599710700467E-2</v>
      </c>
      <c r="H24" s="80">
        <f t="shared" si="3"/>
        <v>3.7574004761408764E-3</v>
      </c>
      <c r="I24" s="55">
        <f>E24*'7-Cálculo_Crashing'!$F$9</f>
        <v>1934434.6947681997</v>
      </c>
      <c r="J24" s="79">
        <f t="shared" si="1"/>
        <v>0.20657065288684984</v>
      </c>
      <c r="K24" s="80">
        <f t="shared" si="4"/>
        <v>1.4824828336808399E-2</v>
      </c>
      <c r="L24" s="55">
        <f>E24*'7-Cálculo_Crashing'!$G$9</f>
        <v>2522769.4167825882</v>
      </c>
      <c r="M24" s="79">
        <f t="shared" si="5"/>
        <v>0.26939659783666303</v>
      </c>
      <c r="N24" s="80">
        <f t="shared" si="6"/>
        <v>1.9333619086910375E-2</v>
      </c>
    </row>
    <row r="25" spans="2:14" x14ac:dyDescent="0.25">
      <c r="B25" s="6" t="s">
        <v>92</v>
      </c>
      <c r="C25" s="55">
        <f>VLOOKUP(B25,'1-Valor_Unitário_Economia'!$A$1:$F$42,6,)</f>
        <v>145992301.15000001</v>
      </c>
      <c r="D25" s="55">
        <f>VLOOKUP(B25,'1-Valor_Unitário_Economia'!$A$1:$J$42,10,)*VLOOKUP(B25,'1-Valor_Unitário_Economia'!$A$1:$L$42,12)</f>
        <v>121257732.24103954</v>
      </c>
      <c r="E25" s="55">
        <f t="shared" si="2"/>
        <v>12125773.224103956</v>
      </c>
      <c r="F25" s="55">
        <f>E25*'7-Cálculo_Crashing'!$E$9</f>
        <v>634856.94784138142</v>
      </c>
      <c r="G25" s="79">
        <f t="shared" si="0"/>
        <v>5.235599710700467E-2</v>
      </c>
      <c r="H25" s="80">
        <f t="shared" si="3"/>
        <v>4.3485645670390295E-3</v>
      </c>
      <c r="I25" s="55">
        <f>E25*'7-Cálculo_Crashing'!$F$9</f>
        <v>2504828.8916610363</v>
      </c>
      <c r="J25" s="79">
        <f t="shared" si="1"/>
        <v>0.20657065288684984</v>
      </c>
      <c r="K25" s="80">
        <f t="shared" si="4"/>
        <v>1.7157267006069354E-2</v>
      </c>
      <c r="L25" s="55">
        <f>E25*'7-Cálculo_Crashing'!$G$9</f>
        <v>3266642.0527125103</v>
      </c>
      <c r="M25" s="79">
        <f t="shared" si="5"/>
        <v>0.26939659783666303</v>
      </c>
      <c r="N25" s="80">
        <f t="shared" si="6"/>
        <v>2.2375440533375757E-2</v>
      </c>
    </row>
    <row r="26" spans="2:14" x14ac:dyDescent="0.25">
      <c r="B26" s="6" t="s">
        <v>23</v>
      </c>
      <c r="C26" s="55">
        <f>VLOOKUP(B26,'1-Valor_Unitário_Economia'!$A$1:$F$42,6,)</f>
        <v>326000000</v>
      </c>
      <c r="D26" s="55">
        <f>VLOOKUP(B26,'1-Valor_Unitário_Economia'!$A$1:$J$42,10,)*VLOOKUP(B26,'1-Valor_Unitário_Economia'!$A$1:$L$42,12)</f>
        <v>270767856.19504255</v>
      </c>
      <c r="E26" s="55">
        <f t="shared" si="2"/>
        <v>27076785.619504258</v>
      </c>
      <c r="F26" s="55">
        <f>E26*'7-Cálculo_Crashing'!$E$9</f>
        <v>1417632.1095617507</v>
      </c>
      <c r="G26" s="79">
        <f t="shared" si="0"/>
        <v>5.235599710700467E-2</v>
      </c>
      <c r="H26" s="80">
        <f t="shared" si="3"/>
        <v>4.348564753256904E-3</v>
      </c>
      <c r="I26" s="55">
        <f>E26*'7-Cálculo_Crashing'!$F$9</f>
        <v>5593269.2834982611</v>
      </c>
      <c r="J26" s="79">
        <f t="shared" si="1"/>
        <v>0.20657065288684984</v>
      </c>
      <c r="K26" s="80">
        <f t="shared" si="4"/>
        <v>1.7157267740792213E-2</v>
      </c>
      <c r="L26" s="55">
        <f>E26*'7-Cálculo_Crashing'!$G$9</f>
        <v>7294393.9262471292</v>
      </c>
      <c r="M26" s="79">
        <f t="shared" si="5"/>
        <v>0.26939659783666303</v>
      </c>
      <c r="N26" s="80">
        <f t="shared" si="6"/>
        <v>2.2375441491555612E-2</v>
      </c>
    </row>
    <row r="27" spans="2:14" x14ac:dyDescent="0.25">
      <c r="B27" s="6" t="s">
        <v>40</v>
      </c>
      <c r="C27" s="55">
        <f>VLOOKUP(B27,'1-Valor_Unitário_Economia'!$A$1:$F$42,6,)</f>
        <v>270000078.79000002</v>
      </c>
      <c r="D27" s="55">
        <f>VLOOKUP(B27,'1-Valor_Unitário_Economia'!$A$1:$J$42,10,)*VLOOKUP(B27,'1-Valor_Unitário_Economia'!$A$1:$L$42,12)</f>
        <v>167630003.06408703</v>
      </c>
      <c r="E27" s="55">
        <f t="shared" si="2"/>
        <v>16763000.306408703</v>
      </c>
      <c r="F27" s="55">
        <f>E27*'7-Cálculo_Crashing'!$E$9</f>
        <v>877643.59554705245</v>
      </c>
      <c r="G27" s="79">
        <f t="shared" si="0"/>
        <v>5.235599710700467E-2</v>
      </c>
      <c r="H27" s="80">
        <f t="shared" si="3"/>
        <v>3.2505308868063846E-3</v>
      </c>
      <c r="I27" s="55">
        <f>E27*'7-Cálculo_Crashing'!$F$9</f>
        <v>3462743.9176373095</v>
      </c>
      <c r="J27" s="79">
        <f t="shared" si="1"/>
        <v>0.20657065288684984</v>
      </c>
      <c r="K27" s="80">
        <f t="shared" si="4"/>
        <v>1.2824973730213442E-2</v>
      </c>
      <c r="L27" s="55">
        <f>E27*'7-Cálculo_Crashing'!$G$9</f>
        <v>4515895.2520814445</v>
      </c>
      <c r="M27" s="79">
        <f t="shared" si="5"/>
        <v>0.26939659783666303</v>
      </c>
      <c r="N27" s="80">
        <f t="shared" si="6"/>
        <v>1.6725533089913674E-2</v>
      </c>
    </row>
    <row r="28" spans="2:14" x14ac:dyDescent="0.25">
      <c r="B28" s="6" t="s">
        <v>96</v>
      </c>
      <c r="C28" s="55">
        <f>VLOOKUP(B28,'1-Valor_Unitário_Economia'!$A$1:$F$42,6,)</f>
        <v>140883034.69</v>
      </c>
      <c r="D28" s="55">
        <f>VLOOKUP(B28,'1-Valor_Unitário_Economia'!$A$1:$J$42,10,)*VLOOKUP(B28,'1-Valor_Unitário_Economia'!$A$1:$L$42,12)</f>
        <v>54778279.628882095</v>
      </c>
      <c r="E28" s="55">
        <f t="shared" si="2"/>
        <v>5477827.9628882101</v>
      </c>
      <c r="F28" s="55">
        <f>E28*'7-Cálculo_Crashing'!$E$9</f>
        <v>286797.14497764444</v>
      </c>
      <c r="G28" s="79">
        <f t="shared" si="0"/>
        <v>5.2355997107004677E-2</v>
      </c>
      <c r="H28" s="80">
        <f t="shared" si="3"/>
        <v>2.0357110109724343E-3</v>
      </c>
      <c r="I28" s="55">
        <f>E28*'7-Cálculo_Crashing'!$F$9</f>
        <v>1131558.4986956601</v>
      </c>
      <c r="J28" s="79">
        <f t="shared" si="1"/>
        <v>0.20657065288684984</v>
      </c>
      <c r="K28" s="80">
        <f t="shared" si="4"/>
        <v>8.0319003717200538E-3</v>
      </c>
      <c r="L28" s="55">
        <f>E28*'7-Cálculo_Crashing'!$G$9</f>
        <v>1475708.2167366222</v>
      </c>
      <c r="M28" s="79">
        <f t="shared" si="5"/>
        <v>0.26939659783666303</v>
      </c>
      <c r="N28" s="80">
        <f t="shared" si="6"/>
        <v>1.0474704920885475E-2</v>
      </c>
    </row>
    <row r="29" spans="2:14" x14ac:dyDescent="0.25">
      <c r="B29" s="6" t="s">
        <v>68</v>
      </c>
      <c r="C29" s="55">
        <f>VLOOKUP(B29,'1-Valor_Unitário_Economia'!$A$1:$F$42,6,)</f>
        <v>176154004.46000001</v>
      </c>
      <c r="D29" s="55">
        <f>VLOOKUP(B29,'1-Valor_Unitário_Economia'!$A$1:$J$42,10,)*VLOOKUP(B29,'1-Valor_Unitário_Economia'!$A$1:$L$42,12)</f>
        <v>146307043.81981856</v>
      </c>
      <c r="E29" s="55">
        <f t="shared" si="2"/>
        <v>14630704.381981857</v>
      </c>
      <c r="F29" s="55">
        <f>E29*'7-Cálculo_Crashing'!$E$9</f>
        <v>766005.11629648262</v>
      </c>
      <c r="G29" s="79">
        <f t="shared" si="0"/>
        <v>5.235599710700467E-2</v>
      </c>
      <c r="H29" s="80">
        <f t="shared" si="3"/>
        <v>4.3484967522859942E-3</v>
      </c>
      <c r="I29" s="55">
        <f>E29*'7-Cálculo_Crashing'!$F$9</f>
        <v>3022274.1563804871</v>
      </c>
      <c r="J29" s="79">
        <f t="shared" si="1"/>
        <v>0.20657065288684984</v>
      </c>
      <c r="K29" s="80">
        <f t="shared" si="4"/>
        <v>1.7156999442875378E-2</v>
      </c>
      <c r="L29" s="55">
        <f>E29*'7-Cálculo_Crashing'!$G$9</f>
        <v>3941461.98445987</v>
      </c>
      <c r="M29" s="79">
        <f t="shared" si="5"/>
        <v>0.26939659783666303</v>
      </c>
      <c r="N29" s="80">
        <f t="shared" si="6"/>
        <v>2.2375091594099263E-2</v>
      </c>
    </row>
    <row r="30" spans="2:14" x14ac:dyDescent="0.25">
      <c r="B30" s="6" t="s">
        <v>156</v>
      </c>
      <c r="C30" s="55">
        <f>VLOOKUP(B30,'1-Valor_Unitário_Economia'!$A$1:$F$42,6,)</f>
        <v>77400978.75</v>
      </c>
      <c r="D30" s="55">
        <f>VLOOKUP(B30,'1-Valor_Unitário_Economia'!$A$1:$J$42,10,)*VLOOKUP(B30,'1-Valor_Unitário_Economia'!$A$1:$L$42,12)</f>
        <v>64285929.012898274</v>
      </c>
      <c r="E30" s="55">
        <f t="shared" si="2"/>
        <v>6428592.9012898281</v>
      </c>
      <c r="F30" s="55">
        <f>E30*'7-Cálculo_Crashing'!$E$9</f>
        <v>336575.39134204102</v>
      </c>
      <c r="G30" s="79">
        <f t="shared" si="0"/>
        <v>5.2355997107004677E-2</v>
      </c>
      <c r="H30" s="80">
        <f t="shared" si="3"/>
        <v>4.3484642801372977E-3</v>
      </c>
      <c r="I30" s="55">
        <f>E30*'7-Cálculo_Crashing'!$F$9</f>
        <v>1327958.6327632079</v>
      </c>
      <c r="J30" s="79">
        <f t="shared" si="1"/>
        <v>0.20657065288684981</v>
      </c>
      <c r="K30" s="80">
        <f t="shared" si="4"/>
        <v>1.7156871323971569E-2</v>
      </c>
      <c r="L30" s="55">
        <f>E30*'7-Cálculo_Crashing'!$G$9</f>
        <v>1731841.0564844026</v>
      </c>
      <c r="M30" s="79">
        <f t="shared" si="5"/>
        <v>0.26939659783666303</v>
      </c>
      <c r="N30" s="80">
        <f t="shared" si="6"/>
        <v>2.2374924509393268E-2</v>
      </c>
    </row>
    <row r="31" spans="2:14" x14ac:dyDescent="0.25">
      <c r="B31" s="6" t="s">
        <v>152</v>
      </c>
      <c r="C31" s="55">
        <f>VLOOKUP(B31,'1-Valor_Unitário_Economia'!$A$1:$F$42,6,)</f>
        <v>93812544</v>
      </c>
      <c r="D31" s="55">
        <f>VLOOKUP(B31,'1-Valor_Unitário_Economia'!$A$1:$J$42,10,)*VLOOKUP(B31,'1-Valor_Unitário_Economia'!$A$1:$L$42,12)</f>
        <v>77917074.605318204</v>
      </c>
      <c r="E31" s="55">
        <f t="shared" si="2"/>
        <v>7791707.4605318205</v>
      </c>
      <c r="F31" s="55">
        <f>E31*'7-Cálculo_Crashing'!$E$9</f>
        <v>407942.61326223071</v>
      </c>
      <c r="G31" s="79">
        <f t="shared" si="0"/>
        <v>5.235599710700467E-2</v>
      </c>
      <c r="H31" s="80">
        <f t="shared" si="3"/>
        <v>4.3484868426788498E-3</v>
      </c>
      <c r="I31" s="55">
        <f>E31*'7-Cálculo_Crashing'!$F$9</f>
        <v>1609538.0972253969</v>
      </c>
      <c r="J31" s="79">
        <f t="shared" si="1"/>
        <v>0.20657065288684984</v>
      </c>
      <c r="K31" s="80">
        <f t="shared" si="4"/>
        <v>1.7156960344507841E-2</v>
      </c>
      <c r="L31" s="55">
        <f>E31*'7-Cálculo_Crashing'!$G$9</f>
        <v>2099059.4812058178</v>
      </c>
      <c r="M31" s="79">
        <f t="shared" si="5"/>
        <v>0.26939659783666303</v>
      </c>
      <c r="N31" s="80">
        <f t="shared" si="6"/>
        <v>2.2375040604440039E-2</v>
      </c>
    </row>
    <row r="32" spans="2:14" x14ac:dyDescent="0.25">
      <c r="B32" s="6" t="s">
        <v>172</v>
      </c>
      <c r="C32" s="55">
        <f>VLOOKUP(B32,'1-Valor_Unitário_Economia'!$A$1:$F$42,6,)</f>
        <v>58264370.009999998</v>
      </c>
      <c r="D32" s="55">
        <f>VLOOKUP(B32,'1-Valor_Unitário_Economia'!$A$1:$J$42,10,)*VLOOKUP(B32,'1-Valor_Unitário_Economia'!$A$1:$L$42,12)</f>
        <v>50690591.911913872</v>
      </c>
      <c r="E32" s="55">
        <f t="shared" si="2"/>
        <v>5069059.1911913874</v>
      </c>
      <c r="F32" s="55">
        <f>E32*'7-Cálculo_Crashing'!$E$9</f>
        <v>265395.64834925171</v>
      </c>
      <c r="G32" s="79">
        <f t="shared" si="0"/>
        <v>5.235599710700467E-2</v>
      </c>
      <c r="H32" s="80">
        <f t="shared" si="3"/>
        <v>4.5550247656278011E-3</v>
      </c>
      <c r="I32" s="55">
        <f>E32*'7-Cálculo_Crashing'!$F$9</f>
        <v>1047118.8666464918</v>
      </c>
      <c r="J32" s="79">
        <f t="shared" si="1"/>
        <v>0.20657065288684984</v>
      </c>
      <c r="K32" s="80">
        <f t="shared" si="4"/>
        <v>1.79718559810528E-2</v>
      </c>
      <c r="L32" s="55">
        <f>E32*'7-Cálculo_Crashing'!$G$9</f>
        <v>1365587.3003396266</v>
      </c>
      <c r="M32" s="79">
        <f t="shared" si="5"/>
        <v>0.26939659783666303</v>
      </c>
      <c r="N32" s="80">
        <f t="shared" si="6"/>
        <v>2.3437776811201235E-2</v>
      </c>
    </row>
    <row r="33" spans="2:14" x14ac:dyDescent="0.25">
      <c r="B33" s="6" t="s">
        <v>80</v>
      </c>
      <c r="C33" s="55">
        <f>VLOOKUP(B33,'1-Valor_Unitário_Economia'!$A$1:$F$42,6,)</f>
        <v>156239196.99000001</v>
      </c>
      <c r="D33" s="55">
        <f>VLOOKUP(B33,'1-Valor_Unitário_Economia'!$A$1:$J$42,10,)*VLOOKUP(B33,'1-Valor_Unitário_Economia'!$A$1:$L$42,12)</f>
        <v>129769265.90071781</v>
      </c>
      <c r="E33" s="55">
        <f t="shared" si="2"/>
        <v>12976926.590071782</v>
      </c>
      <c r="F33" s="55">
        <f>E33*'7-Cálculo_Crashing'!$E$9</f>
        <v>679419.93100761017</v>
      </c>
      <c r="G33" s="79">
        <f t="shared" si="0"/>
        <v>5.2355997107004663E-2</v>
      </c>
      <c r="H33" s="80">
        <f t="shared" si="3"/>
        <v>4.3485882166374419E-3</v>
      </c>
      <c r="I33" s="55">
        <f>E33*'7-Cálculo_Crashing'!$F$9</f>
        <v>2680652.1981758499</v>
      </c>
      <c r="J33" s="79">
        <f t="shared" si="1"/>
        <v>0.20657065288684981</v>
      </c>
      <c r="K33" s="80">
        <f t="shared" si="4"/>
        <v>1.7157360315589842E-2</v>
      </c>
      <c r="L33" s="55">
        <f>E33*'7-Cálculo_Crashing'!$G$9</f>
        <v>3495939.873741467</v>
      </c>
      <c r="M33" s="79">
        <f t="shared" si="5"/>
        <v>0.26939659783666303</v>
      </c>
      <c r="N33" s="80">
        <f t="shared" si="6"/>
        <v>2.2375562221848992E-2</v>
      </c>
    </row>
    <row r="34" spans="2:14" x14ac:dyDescent="0.25">
      <c r="B34" s="6" t="s">
        <v>32</v>
      </c>
      <c r="C34" s="55">
        <f>VLOOKUP(B34,'1-Valor_Unitário_Economia'!$A$1:$F$42,6,)</f>
        <v>292877374.89999998</v>
      </c>
      <c r="D34" s="55">
        <f>VLOOKUP(B34,'1-Valor_Unitário_Economia'!$A$1:$J$42,10,)*VLOOKUP(B34,'1-Valor_Unitário_Economia'!$A$1:$L$42,12)</f>
        <v>175637322.5001761</v>
      </c>
      <c r="E34" s="55">
        <f t="shared" si="2"/>
        <v>17563732.250017609</v>
      </c>
      <c r="F34" s="55">
        <f>E34*'7-Cálculo_Crashing'!$E$9</f>
        <v>919566.71487012657</v>
      </c>
      <c r="G34" s="79">
        <f t="shared" si="0"/>
        <v>5.235599710700467E-2</v>
      </c>
      <c r="H34" s="80">
        <f t="shared" si="3"/>
        <v>3.1397669935552494E-3</v>
      </c>
      <c r="I34" s="55">
        <f>E34*'7-Cálculo_Crashing'!$F$9</f>
        <v>3628151.6380159575</v>
      </c>
      <c r="J34" s="79">
        <f t="shared" si="1"/>
        <v>0.20657065288684984</v>
      </c>
      <c r="K34" s="80">
        <f t="shared" si="4"/>
        <v>1.2387954649124922E-2</v>
      </c>
      <c r="L34" s="55">
        <f>E34*'7-Cálculo_Crashing'!$G$9</f>
        <v>4731609.7134688227</v>
      </c>
      <c r="M34" s="79">
        <f t="shared" si="5"/>
        <v>0.26939659783666303</v>
      </c>
      <c r="N34" s="80">
        <f t="shared" si="6"/>
        <v>1.6155599984752606E-2</v>
      </c>
    </row>
    <row r="35" spans="2:14" x14ac:dyDescent="0.25">
      <c r="B35" s="6" t="s">
        <v>104</v>
      </c>
      <c r="C35" s="55">
        <f>VLOOKUP(B35,'1-Valor_Unitário_Economia'!$A$1:$F$42,6,)</f>
        <v>135652495.84</v>
      </c>
      <c r="D35" s="55">
        <f>VLOOKUP(B35,'1-Valor_Unitário_Economia'!$A$1:$J$42,10,)*VLOOKUP(B35,'1-Valor_Unitário_Economia'!$A$1:$L$42,12)</f>
        <v>98569474.431413814</v>
      </c>
      <c r="E35" s="55">
        <f t="shared" si="2"/>
        <v>9856947.4431413822</v>
      </c>
      <c r="F35" s="55">
        <f>E35*'7-Cálculo_Crashing'!$E$9</f>
        <v>516070.31181700731</v>
      </c>
      <c r="G35" s="79">
        <f t="shared" si="0"/>
        <v>5.235599710700467E-2</v>
      </c>
      <c r="H35" s="80">
        <f t="shared" si="3"/>
        <v>3.8043554497198795E-3</v>
      </c>
      <c r="I35" s="55">
        <f>E35*'7-Cálculo_Crashing'!$F$9</f>
        <v>2036156.0688010806</v>
      </c>
      <c r="J35" s="79">
        <f t="shared" si="1"/>
        <v>0.20657065288684984</v>
      </c>
      <c r="K35" s="80">
        <f t="shared" si="4"/>
        <v>1.5010089244525916E-2</v>
      </c>
      <c r="L35" s="55">
        <f>E35*'7-Cálculo_Crashing'!$G$9</f>
        <v>2655428.1062370827</v>
      </c>
      <c r="M35" s="79">
        <f t="shared" si="5"/>
        <v>0.26939659783666303</v>
      </c>
      <c r="N35" s="80">
        <f t="shared" si="6"/>
        <v>1.9575224840456446E-2</v>
      </c>
    </row>
    <row r="36" spans="2:14" x14ac:dyDescent="0.25">
      <c r="B36" s="6" t="s">
        <v>28</v>
      </c>
      <c r="C36" s="55">
        <f>VLOOKUP(B36,'1-Valor_Unitário_Economia'!$A$1:$F$42,6,)</f>
        <v>329958259.80000001</v>
      </c>
      <c r="D36" s="55">
        <f>VLOOKUP(B36,'1-Valor_Unitário_Economia'!$A$1:$J$42,10,)*VLOOKUP(B36,'1-Valor_Unitário_Economia'!$A$1:$L$42,12)</f>
        <v>236810195.40165558</v>
      </c>
      <c r="E36" s="55">
        <f t="shared" si="2"/>
        <v>23681019.540165558</v>
      </c>
      <c r="F36" s="55">
        <f>E36*'7-Cálculo_Crashing'!$E$9</f>
        <v>1239843.3905358291</v>
      </c>
      <c r="G36" s="79">
        <f t="shared" si="0"/>
        <v>5.235599710700467E-2</v>
      </c>
      <c r="H36" s="80">
        <f t="shared" si="3"/>
        <v>3.7575764622087182E-3</v>
      </c>
      <c r="I36" s="55">
        <f>E36*'7-Cálculo_Crashing'!$F$9</f>
        <v>4891803.6674382482</v>
      </c>
      <c r="J36" s="79">
        <f t="shared" si="1"/>
        <v>0.20657065288684984</v>
      </c>
      <c r="K36" s="80">
        <f t="shared" si="4"/>
        <v>1.4825522690061927E-2</v>
      </c>
      <c r="L36" s="55">
        <f>E36*'7-Cálculo_Crashing'!$G$9</f>
        <v>6379586.0974241402</v>
      </c>
      <c r="M36" s="79">
        <f t="shared" si="5"/>
        <v>0.26939659783666303</v>
      </c>
      <c r="N36" s="80">
        <f t="shared" si="6"/>
        <v>1.933452461923834E-2</v>
      </c>
    </row>
    <row r="37" spans="2:14" x14ac:dyDescent="0.25">
      <c r="B37" s="6" t="s">
        <v>60</v>
      </c>
      <c r="C37" s="55">
        <f>VLOOKUP(B37,'1-Valor_Unitário_Economia'!$A$1:$F$42,6,)</f>
        <v>183907637.58000001</v>
      </c>
      <c r="D37" s="55">
        <f>VLOOKUP(B37,'1-Valor_Unitário_Economia'!$A$1:$J$42,10,)*VLOOKUP(B37,'1-Valor_Unitário_Economia'!$A$1:$L$42,12)</f>
        <v>152746358.3804338</v>
      </c>
      <c r="E37" s="55">
        <f t="shared" si="2"/>
        <v>15274635.838043381</v>
      </c>
      <c r="F37" s="55">
        <f>E37*'7-Cálculo_Crashing'!$E$9</f>
        <v>799718.7897471491</v>
      </c>
      <c r="G37" s="79">
        <f t="shared" si="0"/>
        <v>5.235599710700467E-2</v>
      </c>
      <c r="H37" s="80">
        <f t="shared" si="3"/>
        <v>4.348480575741563E-3</v>
      </c>
      <c r="I37" s="55">
        <f>E37*'7-Cálculo_Crashing'!$F$9</f>
        <v>3155291.4976734957</v>
      </c>
      <c r="J37" s="79">
        <f t="shared" si="1"/>
        <v>0.20657065288684984</v>
      </c>
      <c r="K37" s="80">
        <f t="shared" si="4"/>
        <v>1.7156935618298834E-2</v>
      </c>
      <c r="L37" s="55">
        <f>E37*'7-Cálculo_Crashing'!$G$9</f>
        <v>4114934.9279628531</v>
      </c>
      <c r="M37" s="79">
        <f t="shared" si="5"/>
        <v>0.26939659783666303</v>
      </c>
      <c r="N37" s="80">
        <f t="shared" si="6"/>
        <v>2.2375008358056104E-2</v>
      </c>
    </row>
    <row r="38" spans="2:14" x14ac:dyDescent="0.25">
      <c r="B38" s="6" t="s">
        <v>160</v>
      </c>
      <c r="C38" s="55">
        <f>VLOOKUP(B38,'1-Valor_Unitário_Economia'!$A$1:$F$42,6,)</f>
        <v>74273985.590000004</v>
      </c>
      <c r="D38" s="55">
        <f>VLOOKUP(B38,'1-Valor_Unitário_Economia'!$A$1:$J$42,10,)*VLOOKUP(B38,'1-Valor_Unitário_Economia'!$A$1:$L$42,12)</f>
        <v>61691708.272745684</v>
      </c>
      <c r="E38" s="55">
        <f t="shared" si="2"/>
        <v>6169170.8272745684</v>
      </c>
      <c r="F38" s="55">
        <f>E38*'7-Cálculo_Crashing'!$E$9</f>
        <v>322993.08998540492</v>
      </c>
      <c r="G38" s="79">
        <f t="shared" si="0"/>
        <v>5.235599710700467E-2</v>
      </c>
      <c r="H38" s="80">
        <f t="shared" si="3"/>
        <v>4.3486704990945259E-3</v>
      </c>
      <c r="I38" s="55">
        <f>E38*'7-Cálculo_Crashing'!$F$9</f>
        <v>1274369.6455606152</v>
      </c>
      <c r="J38" s="79">
        <f t="shared" si="1"/>
        <v>0.20657065288684986</v>
      </c>
      <c r="K38" s="80">
        <f t="shared" si="4"/>
        <v>1.7157684961128464E-2</v>
      </c>
      <c r="L38" s="55">
        <f>E38*'7-Cálculo_Crashing'!$G$9</f>
        <v>1661953.6323409607</v>
      </c>
      <c r="M38" s="79">
        <f t="shared" si="5"/>
        <v>0.26939659783666303</v>
      </c>
      <c r="N38" s="80">
        <f t="shared" si="6"/>
        <v>2.2375985604369136E-2</v>
      </c>
    </row>
    <row r="39" spans="2:14" x14ac:dyDescent="0.25">
      <c r="B39" s="6" t="s">
        <v>120</v>
      </c>
      <c r="C39" s="55">
        <f>VLOOKUP(B39,'1-Valor_Unitário_Economia'!$A$1:$F$42,6,)</f>
        <v>110000008.23</v>
      </c>
      <c r="D39" s="55">
        <f>VLOOKUP(B39,'1-Valor_Unitário_Economia'!$A$1:$J$42,10,)*VLOOKUP(B39,'1-Valor_Unitário_Economia'!$A$1:$L$42,12)</f>
        <v>67963930.490012228</v>
      </c>
      <c r="E39" s="55">
        <f t="shared" si="2"/>
        <v>6796393.0490012234</v>
      </c>
      <c r="F39" s="55">
        <f>E39*'7-Cálculo_Crashing'!$E$9</f>
        <v>355831.9348115747</v>
      </c>
      <c r="G39" s="79">
        <f t="shared" si="0"/>
        <v>5.235599710700467E-2</v>
      </c>
      <c r="H39" s="80">
        <f t="shared" si="3"/>
        <v>3.2348355289898026E-3</v>
      </c>
      <c r="I39" s="55">
        <f>E39*'7-Cálculo_Crashing'!$F$9</f>
        <v>1403935.3494078307</v>
      </c>
      <c r="J39" s="79">
        <f t="shared" si="1"/>
        <v>0.20657065288684984</v>
      </c>
      <c r="K39" s="80">
        <f t="shared" si="4"/>
        <v>1.2763047676072257E-2</v>
      </c>
      <c r="L39" s="55">
        <f>E39*'7-Cálculo_Crashing'!$G$9</f>
        <v>1830925.1649616747</v>
      </c>
      <c r="M39" s="79">
        <f t="shared" si="5"/>
        <v>0.26939659783666303</v>
      </c>
      <c r="N39" s="80">
        <f t="shared" si="6"/>
        <v>1.6644772981592663E-2</v>
      </c>
    </row>
    <row r="40" spans="2:14" x14ac:dyDescent="0.25">
      <c r="B40" s="6" t="s">
        <v>132</v>
      </c>
      <c r="C40" s="55">
        <f>VLOOKUP(B40,'1-Valor_Unitário_Economia'!$A$1:$F$42,6,)</f>
        <v>104498053.12</v>
      </c>
      <c r="D40" s="55">
        <f>VLOOKUP(B40,'1-Valor_Unitário_Economia'!$A$1:$J$42,10,)*VLOOKUP(B40,'1-Valor_Unitário_Economia'!$A$1:$L$42,12)</f>
        <v>0</v>
      </c>
      <c r="E40" s="55">
        <f t="shared" si="2"/>
        <v>0</v>
      </c>
      <c r="F40" s="55">
        <f>E40*'7-Cálculo_Crashing'!$E$9</f>
        <v>0</v>
      </c>
      <c r="G40" s="79">
        <f t="shared" si="0"/>
        <v>0</v>
      </c>
      <c r="H40" s="80">
        <f t="shared" si="3"/>
        <v>0</v>
      </c>
      <c r="I40" s="55">
        <f>E40*'7-Cálculo_Crashing'!$F$9</f>
        <v>0</v>
      </c>
      <c r="J40" s="79">
        <f t="shared" si="1"/>
        <v>0</v>
      </c>
      <c r="K40" s="80">
        <f t="shared" si="4"/>
        <v>0</v>
      </c>
      <c r="L40" s="55">
        <f>E40*'7-Cálculo_Crashing'!$G$9</f>
        <v>0</v>
      </c>
      <c r="M40" s="79">
        <f t="shared" si="5"/>
        <v>0</v>
      </c>
      <c r="N40" s="80">
        <f t="shared" si="6"/>
        <v>0</v>
      </c>
    </row>
    <row r="41" spans="2:14" x14ac:dyDescent="0.25">
      <c r="B41" s="6" t="s">
        <v>124</v>
      </c>
      <c r="C41" s="55">
        <f>VLOOKUP(B41,'1-Valor_Unitário_Economia'!$A$1:$F$42,6,)</f>
        <v>107849555.79000001</v>
      </c>
      <c r="D41" s="55">
        <f>VLOOKUP(B41,'1-Valor_Unitário_Economia'!$A$1:$J$42,10,)*VLOOKUP(B41,'1-Valor_Unitário_Economia'!$A$1:$L$42,12)</f>
        <v>89576662.918362036</v>
      </c>
      <c r="E41" s="55">
        <f t="shared" si="2"/>
        <v>8957666.291836204</v>
      </c>
      <c r="F41" s="55">
        <f>E41*'7-Cálculo_Crashing'!$E$9</f>
        <v>468987.55046088953</v>
      </c>
      <c r="G41" s="79">
        <f t="shared" si="0"/>
        <v>5.235599710700467E-2</v>
      </c>
      <c r="H41" s="80">
        <f t="shared" si="3"/>
        <v>4.3485348365651299E-3</v>
      </c>
      <c r="I41" s="55">
        <f>E41*'7-Cálculo_Crashing'!$F$9</f>
        <v>1850390.9742471317</v>
      </c>
      <c r="J41" s="79">
        <f t="shared" si="1"/>
        <v>0.20657065288684984</v>
      </c>
      <c r="K41" s="80">
        <f t="shared" si="4"/>
        <v>1.7157149704446935E-2</v>
      </c>
      <c r="L41" s="55">
        <f>E41*'7-Cálculo_Crashing'!$G$9</f>
        <v>2413164.8235768303</v>
      </c>
      <c r="M41" s="79">
        <f t="shared" si="5"/>
        <v>0.26939659783666303</v>
      </c>
      <c r="N41" s="80">
        <f t="shared" si="6"/>
        <v>2.2375287555895369E-2</v>
      </c>
    </row>
    <row r="42" spans="2:14" x14ac:dyDescent="0.25">
      <c r="B42" s="6" t="s">
        <v>44</v>
      </c>
      <c r="C42" s="55">
        <f>VLOOKUP(B42,'1-Valor_Unitário_Economia'!$A$1:$F$42,6,)</f>
        <v>263030689.66999999</v>
      </c>
      <c r="D42" s="55">
        <f>VLOOKUP(B42,'1-Valor_Unitário_Economia'!$A$1:$J$42,10,)*VLOOKUP(B42,'1-Valor_Unitário_Economia'!$A$1:$L$42,12)</f>
        <v>218467412.09819332</v>
      </c>
      <c r="E42" s="55">
        <f t="shared" si="2"/>
        <v>21846741.209819332</v>
      </c>
      <c r="F42" s="55">
        <f>E42*'7-Cálculo_Crashing'!$E$9</f>
        <v>1143807.9195787807</v>
      </c>
      <c r="G42" s="79">
        <f t="shared" si="0"/>
        <v>5.235599710700467E-2</v>
      </c>
      <c r="H42" s="80">
        <f t="shared" si="3"/>
        <v>4.348572103938934E-3</v>
      </c>
      <c r="I42" s="55">
        <f>E42*'7-Cálculo_Crashing'!$F$9</f>
        <v>4512895.5951624271</v>
      </c>
      <c r="J42" s="79">
        <f t="shared" si="1"/>
        <v>0.20657065288684984</v>
      </c>
      <c r="K42" s="80">
        <f t="shared" si="4"/>
        <v>1.7157296742917473E-2</v>
      </c>
      <c r="L42" s="55">
        <f>E42*'7-Cálculo_Crashing'!$G$9</f>
        <v>5885437.7557433518</v>
      </c>
      <c r="M42" s="79">
        <f t="shared" si="5"/>
        <v>0.26939659783666303</v>
      </c>
      <c r="N42" s="80">
        <f t="shared" si="6"/>
        <v>2.2375479314323588E-2</v>
      </c>
    </row>
    <row r="43" spans="2:14" x14ac:dyDescent="0.25">
      <c r="B43" s="6" t="s">
        <v>116</v>
      </c>
      <c r="C43" s="55">
        <f>VLOOKUP(B43,'1-Valor_Unitário_Economia'!$A$1:$F$42,6,)</f>
        <v>111945430.81</v>
      </c>
      <c r="D43" s="55">
        <f>VLOOKUP(B43,'1-Valor_Unitário_Economia'!$A$1:$J$42,10,)*VLOOKUP(B43,'1-Valor_Unitário_Economia'!$A$1:$L$42,12)</f>
        <v>92979974.44386749</v>
      </c>
      <c r="E43" s="55">
        <f t="shared" si="2"/>
        <v>9297997.4443867486</v>
      </c>
      <c r="F43" s="55">
        <f>E43*'7-Cálculo_Crashing'!$E$9</f>
        <v>486805.92729924945</v>
      </c>
      <c r="G43" s="79">
        <f t="shared" si="0"/>
        <v>5.235599710700467E-2</v>
      </c>
      <c r="H43" s="80">
        <f t="shared" si="3"/>
        <v>4.3486002401070169E-3</v>
      </c>
      <c r="I43" s="55">
        <f>E43*'7-Cálculo_Crashing'!$F$9</f>
        <v>1920693.402627232</v>
      </c>
      <c r="J43" s="79">
        <f t="shared" si="1"/>
        <v>0.20657065288684984</v>
      </c>
      <c r="K43" s="80">
        <f t="shared" si="4"/>
        <v>1.7157407754204275E-2</v>
      </c>
      <c r="L43" s="55">
        <f>E43*'7-Cálculo_Crashing'!$G$9</f>
        <v>2504848.8782117777</v>
      </c>
      <c r="M43" s="79">
        <f t="shared" si="5"/>
        <v>0.26939659783666303</v>
      </c>
      <c r="N43" s="80">
        <f t="shared" si="6"/>
        <v>2.2375624088339489E-2</v>
      </c>
    </row>
    <row r="44" spans="2:14" x14ac:dyDescent="0.25">
      <c r="B44" s="6" t="s">
        <v>88</v>
      </c>
      <c r="C44" s="55">
        <f>VLOOKUP(B44,'1-Valor_Unitário_Economia'!$A$1:$F$42,6,)</f>
        <v>145505569.19</v>
      </c>
      <c r="D44" s="55">
        <f>VLOOKUP(B44,'1-Valor_Unitário_Economia'!$A$1:$J$42,10,)*VLOOKUP(B44,'1-Valor_Unitário_Economia'!$A$1:$L$42,12)</f>
        <v>120865588.66762923</v>
      </c>
      <c r="E44" s="55">
        <f t="shared" si="2"/>
        <v>12086558.866762923</v>
      </c>
      <c r="F44" s="55">
        <f>E44*'7-Cálculo_Crashing'!$E$9</f>
        <v>632803.84106188128</v>
      </c>
      <c r="G44" s="79">
        <f t="shared" si="0"/>
        <v>5.235599710700467E-2</v>
      </c>
      <c r="H44" s="80">
        <f t="shared" si="3"/>
        <v>4.3490008292093006E-3</v>
      </c>
      <c r="I44" s="55">
        <f>E44*'7-Cálculo_Crashing'!$F$9</f>
        <v>2496728.3562625609</v>
      </c>
      <c r="J44" s="79">
        <f t="shared" si="1"/>
        <v>0.20657065288684984</v>
      </c>
      <c r="K44" s="80">
        <f t="shared" si="4"/>
        <v>1.715898827901462E-2</v>
      </c>
      <c r="L44" s="55">
        <f>E44*'7-Cálculo_Crashing'!$G$9</f>
        <v>3256077.8382584848</v>
      </c>
      <c r="M44" s="79">
        <f t="shared" si="5"/>
        <v>0.26939659783666303</v>
      </c>
      <c r="N44" s="80">
        <f t="shared" si="6"/>
        <v>2.2377685310496429E-2</v>
      </c>
    </row>
    <row r="45" spans="2:14" x14ac:dyDescent="0.25">
      <c r="B45" s="6" t="s">
        <v>144</v>
      </c>
      <c r="C45" s="55">
        <f>VLOOKUP(B45,'1-Valor_Unitário_Economia'!$A$1:$F$42,6,)</f>
        <v>96259818.150000006</v>
      </c>
      <c r="D45" s="55">
        <f>VLOOKUP(B45,'1-Valor_Unitário_Economia'!$A$1:$J$42,10,)*VLOOKUP(B45,'1-Valor_Unitário_Economia'!$A$1:$L$42,12)</f>
        <v>81817221.187358811</v>
      </c>
      <c r="E45" s="55">
        <f t="shared" si="2"/>
        <v>8181722.1187358815</v>
      </c>
      <c r="F45" s="55">
        <f>E45*'7-Cálculo_Crashing'!$E$9</f>
        <v>428362.21957885195</v>
      </c>
      <c r="G45" s="79">
        <f t="shared" si="0"/>
        <v>5.235599710700467E-2</v>
      </c>
      <c r="H45" s="80">
        <f t="shared" si="3"/>
        <v>4.4500626306123135E-3</v>
      </c>
      <c r="I45" s="55">
        <f>E45*'7-Cálculo_Crashing'!$F$9</f>
        <v>1690103.6798060513</v>
      </c>
      <c r="J45" s="79">
        <f t="shared" si="1"/>
        <v>0.20657065288684984</v>
      </c>
      <c r="K45" s="80">
        <f t="shared" si="4"/>
        <v>1.75577277444301E-2</v>
      </c>
      <c r="L45" s="55">
        <f>E45*'7-Cálculo_Crashing'!$G$9</f>
        <v>2204128.103232421</v>
      </c>
      <c r="M45" s="79">
        <f t="shared" si="5"/>
        <v>0.26939659783666303</v>
      </c>
      <c r="N45" s="80">
        <f t="shared" si="6"/>
        <v>2.2897696521696792E-2</v>
      </c>
    </row>
    <row r="46" spans="2:14" x14ac:dyDescent="0.25">
      <c r="B46" s="6" t="s">
        <v>140</v>
      </c>
      <c r="C46" s="55">
        <f>VLOOKUP(B46,'1-Valor_Unitário_Economia'!$A$1:$F$42,6,)</f>
        <v>98645359.079999998</v>
      </c>
      <c r="D46" s="55">
        <f>VLOOKUP(B46,'1-Valor_Unitário_Economia'!$A$1:$J$42,10,)*VLOOKUP(B46,'1-Valor_Unitário_Economia'!$A$1:$L$42,12)</f>
        <v>83839015.047876209</v>
      </c>
      <c r="E46" s="55">
        <f t="shared" si="2"/>
        <v>8383901.5047876211</v>
      </c>
      <c r="F46" s="55">
        <f>E46*'7-Cálculo_Crashing'!$E$9</f>
        <v>438947.5229300728</v>
      </c>
      <c r="G46" s="79">
        <f t="shared" si="0"/>
        <v>5.235599710700467E-2</v>
      </c>
      <c r="H46" s="80">
        <f t="shared" si="3"/>
        <v>4.4497534098293717E-3</v>
      </c>
      <c r="I46" s="55">
        <f>E46*'7-Cálculo_Crashing'!$F$9</f>
        <v>1731868.0075830217</v>
      </c>
      <c r="J46" s="79">
        <f t="shared" si="1"/>
        <v>0.20657065288684984</v>
      </c>
      <c r="K46" s="80">
        <f t="shared" si="4"/>
        <v>1.7556507713439425E-2</v>
      </c>
      <c r="L46" s="55">
        <f>E46*'7-Cálculo_Crashing'!$G$9</f>
        <v>2258594.5419874648</v>
      </c>
      <c r="M46" s="79">
        <f t="shared" si="5"/>
        <v>0.26939659783666303</v>
      </c>
      <c r="N46" s="80">
        <f t="shared" si="6"/>
        <v>2.2896105433158558E-2</v>
      </c>
    </row>
    <row r="47" spans="2:14" x14ac:dyDescent="0.25">
      <c r="B47" s="6" t="s">
        <v>136</v>
      </c>
      <c r="C47" s="55">
        <f>VLOOKUP(B47,'1-Valor_Unitário_Economia'!$A$1:$F$42,6,)</f>
        <v>100000000.02</v>
      </c>
      <c r="D47" s="55">
        <f>VLOOKUP(B47,'1-Valor_Unitário_Economia'!$A$1:$J$42,10,)*VLOOKUP(B47,'1-Valor_Unitário_Economia'!$A$1:$L$42,12)</f>
        <v>59784257.554515421</v>
      </c>
      <c r="E47" s="55">
        <f t="shared" si="2"/>
        <v>5978425.7554515423</v>
      </c>
      <c r="F47" s="55">
        <f>E47*'7-Cálculo_Crashing'!$E$9</f>
        <v>313006.44155686314</v>
      </c>
      <c r="G47" s="79">
        <f t="shared" si="0"/>
        <v>5.2355997107004663E-2</v>
      </c>
      <c r="H47" s="80">
        <f t="shared" si="3"/>
        <v>3.1300644149426186E-3</v>
      </c>
      <c r="I47" s="55">
        <f>E47*'7-Cálculo_Crashing'!$F$9</f>
        <v>1234967.3115391836</v>
      </c>
      <c r="J47" s="79">
        <f t="shared" si="1"/>
        <v>0.20657065288684984</v>
      </c>
      <c r="K47" s="80">
        <f t="shared" si="4"/>
        <v>1.2349673112921901E-2</v>
      </c>
      <c r="L47" s="55">
        <f>E47*'7-Cálculo_Crashing'!$G$9</f>
        <v>1610567.5589377275</v>
      </c>
      <c r="M47" s="79">
        <f t="shared" si="5"/>
        <v>0.26939659783666303</v>
      </c>
      <c r="N47" s="80">
        <f t="shared" si="6"/>
        <v>1.6105675586156141E-2</v>
      </c>
    </row>
    <row r="48" spans="2:14" x14ac:dyDescent="0.25">
      <c r="B48" s="6" t="s">
        <v>72</v>
      </c>
      <c r="C48" s="55">
        <f>VLOOKUP(B48,'1-Valor_Unitário_Economia'!$A$1:$F$42,6,)</f>
        <v>175919603.52000001</v>
      </c>
      <c r="D48" s="55">
        <f>VLOOKUP(B48,'1-Valor_Unitário_Economia'!$A$1:$J$42,10,)*VLOOKUP(B48,'1-Valor_Unitário_Economia'!$A$1:$L$42,12)</f>
        <v>175919603.52000001</v>
      </c>
      <c r="E48" s="55">
        <f t="shared" si="2"/>
        <v>17591960.352000002</v>
      </c>
      <c r="F48" s="55">
        <f>E48*'7-Cálculo_Crashing'!$E$9</f>
        <v>921044.62529585301</v>
      </c>
      <c r="G48" s="79">
        <f t="shared" si="0"/>
        <v>5.235599710700467E-2</v>
      </c>
      <c r="H48" s="80">
        <f t="shared" si="3"/>
        <v>5.2355997107004677E-3</v>
      </c>
      <c r="I48" s="55">
        <f>E48*'7-Cálculo_Crashing'!$F$9</f>
        <v>3633982.7354722172</v>
      </c>
      <c r="J48" s="79">
        <f t="shared" si="1"/>
        <v>0.20657065288684984</v>
      </c>
      <c r="K48" s="80">
        <f t="shared" si="4"/>
        <v>2.0657065288684984E-2</v>
      </c>
      <c r="L48" s="55">
        <f>E48*'7-Cálculo_Crashing'!$G$9</f>
        <v>4739214.2681062659</v>
      </c>
      <c r="M48" s="79">
        <f t="shared" si="5"/>
        <v>0.26939659783666303</v>
      </c>
      <c r="N48" s="80">
        <f t="shared" si="6"/>
        <v>2.6939659783666307E-2</v>
      </c>
    </row>
  </sheetData>
  <mergeCells count="4">
    <mergeCell ref="B6:E6"/>
    <mergeCell ref="F6:H6"/>
    <mergeCell ref="I6:K6"/>
    <mergeCell ref="L6:N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1-Valor_Unitário_Economia</vt:lpstr>
      <vt:lpstr>2-Proporção</vt:lpstr>
      <vt:lpstr>3-Cenários</vt:lpstr>
      <vt:lpstr>4-Premissas-MO</vt:lpstr>
      <vt:lpstr>5-Parâmetros</vt:lpstr>
      <vt:lpstr>6-Custo_Oportunidade</vt:lpstr>
      <vt:lpstr>7-Cálculo_Crashing</vt:lpstr>
      <vt:lpstr>8-Simulação_A</vt:lpstr>
      <vt:lpstr>9-Comparação</vt:lpstr>
      <vt:lpstr>'8-Simulação_A'!Area_de_impressao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Alexandre Reis da Silva</dc:creator>
  <cp:lastModifiedBy>RAFAEL PEQUINO FREIRE</cp:lastModifiedBy>
  <cp:lastPrinted>2025-10-16T13:45:12Z</cp:lastPrinted>
  <dcterms:created xsi:type="dcterms:W3CDTF">2025-09-29T14:21:15Z</dcterms:created>
  <dcterms:modified xsi:type="dcterms:W3CDTF">2025-11-11T11:37:33Z</dcterms:modified>
</cp:coreProperties>
</file>