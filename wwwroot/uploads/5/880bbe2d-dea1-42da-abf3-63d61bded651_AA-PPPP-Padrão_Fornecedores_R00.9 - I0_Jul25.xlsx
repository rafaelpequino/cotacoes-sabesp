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TRABALHO\3_SABESP OFICIAL\86_AGOSTO_2025\Atualização Julho 25 - Planilhas padrão\"/>
    </mc:Choice>
  </mc:AlternateContent>
  <xr:revisionPtr revIDLastSave="0" documentId="13_ncr:1_{A847C03F-6F12-4B36-A32B-D6F83F5D22EF}" xr6:coauthVersionLast="47" xr6:coauthVersionMax="47" xr10:uidLastSave="{00000000-0000-0000-0000-000000000000}"/>
  <bookViews>
    <workbookView xWindow="-110" yWindow="-110" windowWidth="19420" windowHeight="10300" firstSheet="1" activeTab="1" xr2:uid="{7407DF74-4E28-48A2-A0AA-548E5ED88EA5}"/>
  </bookViews>
  <sheets>
    <sheet name="Envio" sheetId="2" state="hidden" r:id="rId1"/>
    <sheet name="Processo_xxxx-yy" sheetId="6" r:id="rId2"/>
    <sheet name="Propostas" sheetId="9" r:id="rId3"/>
    <sheet name="Resumo" sheetId="19" r:id="rId4"/>
    <sheet name="IPCA" sheetId="10" r:id="rId5"/>
    <sheet name="Cronograma Fisico Financeiro" sheetId="14" state="hidden" r:id="rId6"/>
  </sheets>
  <definedNames>
    <definedName name="_xlnm._FilterDatabase" localSheetId="0" hidden="1">Envio!$A$1:$I$12</definedName>
    <definedName name="_xlnm._FilterDatabase" localSheetId="3" hidden="1">Resumo!$A$1:$G$25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0" l="1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G7" i="10"/>
  <c r="B14" i="19" l="1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Q8" i="9" l="1"/>
  <c r="G8" i="9"/>
  <c r="H8" i="9"/>
  <c r="I8" i="9"/>
  <c r="E8" i="9" s="1"/>
  <c r="F8" i="9" s="1"/>
  <c r="J8" i="9"/>
  <c r="R8" i="9"/>
  <c r="S8" i="9" s="1"/>
  <c r="E10" i="9"/>
  <c r="F10" i="9" s="1"/>
  <c r="G10" i="9"/>
  <c r="H10" i="9"/>
  <c r="I10" i="9"/>
  <c r="J10" i="9"/>
  <c r="Q10" i="9"/>
  <c r="R10" i="9"/>
  <c r="S10" i="9" s="1"/>
  <c r="G12" i="9"/>
  <c r="H12" i="9"/>
  <c r="I12" i="9"/>
  <c r="E12" i="9" s="1"/>
  <c r="F12" i="9" s="1"/>
  <c r="J12" i="9"/>
  <c r="Q12" i="9"/>
  <c r="R12" i="9"/>
  <c r="S12" i="9"/>
  <c r="G14" i="9"/>
  <c r="H14" i="9"/>
  <c r="I14" i="9"/>
  <c r="E14" i="9" s="1"/>
  <c r="F14" i="9" s="1"/>
  <c r="J14" i="9"/>
  <c r="Q14" i="9"/>
  <c r="R14" i="9"/>
  <c r="S14" i="9"/>
  <c r="E16" i="9"/>
  <c r="F16" i="9" s="1"/>
  <c r="G16" i="9"/>
  <c r="H16" i="9"/>
  <c r="I16" i="9"/>
  <c r="J16" i="9"/>
  <c r="Q16" i="9"/>
  <c r="R16" i="9"/>
  <c r="S16" i="9"/>
  <c r="E18" i="9"/>
  <c r="F18" i="9" s="1"/>
  <c r="G18" i="9"/>
  <c r="H18" i="9"/>
  <c r="I18" i="9"/>
  <c r="J18" i="9"/>
  <c r="Q18" i="9"/>
  <c r="R18" i="9"/>
  <c r="S18" i="9" s="1"/>
  <c r="G20" i="9"/>
  <c r="H20" i="9"/>
  <c r="I20" i="9"/>
  <c r="E20" i="9" s="1"/>
  <c r="J20" i="9"/>
  <c r="Q20" i="9"/>
  <c r="R20" i="9"/>
  <c r="S20" i="9" s="1"/>
  <c r="G22" i="9"/>
  <c r="H22" i="9"/>
  <c r="I22" i="9"/>
  <c r="E22" i="9" s="1"/>
  <c r="F22" i="9" s="1"/>
  <c r="J22" i="9"/>
  <c r="Q22" i="9"/>
  <c r="R22" i="9"/>
  <c r="S22" i="9" s="1"/>
  <c r="G24" i="9"/>
  <c r="H24" i="9"/>
  <c r="I24" i="9"/>
  <c r="E24" i="9" s="1"/>
  <c r="F24" i="9" s="1"/>
  <c r="J24" i="9"/>
  <c r="Q24" i="9"/>
  <c r="R24" i="9"/>
  <c r="S24" i="9" s="1"/>
  <c r="G26" i="9"/>
  <c r="H26" i="9"/>
  <c r="I26" i="9"/>
  <c r="E26" i="9" s="1"/>
  <c r="F26" i="9" s="1"/>
  <c r="J26" i="9"/>
  <c r="Q26" i="9"/>
  <c r="R26" i="9"/>
  <c r="S26" i="9" s="1"/>
  <c r="G28" i="9"/>
  <c r="H28" i="9"/>
  <c r="I28" i="9"/>
  <c r="E28" i="9" s="1"/>
  <c r="F28" i="9" s="1"/>
  <c r="J28" i="9"/>
  <c r="Q28" i="9"/>
  <c r="R28" i="9"/>
  <c r="S28" i="9"/>
  <c r="G30" i="9"/>
  <c r="H30" i="9"/>
  <c r="I30" i="9"/>
  <c r="E30" i="9" s="1"/>
  <c r="F30" i="9" s="1"/>
  <c r="J30" i="9"/>
  <c r="Q30" i="9"/>
  <c r="R30" i="9"/>
  <c r="S30" i="9"/>
  <c r="G32" i="9"/>
  <c r="H32" i="9"/>
  <c r="I32" i="9"/>
  <c r="E32" i="9" s="1"/>
  <c r="F32" i="9" s="1"/>
  <c r="J32" i="9"/>
  <c r="Q32" i="9"/>
  <c r="R32" i="9"/>
  <c r="S32" i="9" s="1"/>
  <c r="G34" i="9"/>
  <c r="H34" i="9"/>
  <c r="I34" i="9"/>
  <c r="E34" i="9" s="1"/>
  <c r="J34" i="9"/>
  <c r="Q34" i="9"/>
  <c r="R34" i="9"/>
  <c r="S34" i="9" s="1"/>
  <c r="G36" i="9"/>
  <c r="H36" i="9"/>
  <c r="I36" i="9"/>
  <c r="E36" i="9" s="1"/>
  <c r="J36" i="9"/>
  <c r="Q36" i="9"/>
  <c r="R36" i="9"/>
  <c r="S36" i="9" s="1"/>
  <c r="G38" i="9"/>
  <c r="H38" i="9"/>
  <c r="I38" i="9"/>
  <c r="E38" i="9" s="1"/>
  <c r="F38" i="9" s="1"/>
  <c r="J38" i="9"/>
  <c r="Q38" i="9"/>
  <c r="R38" i="9"/>
  <c r="S38" i="9" s="1"/>
  <c r="G40" i="9"/>
  <c r="H40" i="9"/>
  <c r="I40" i="9"/>
  <c r="E40" i="9" s="1"/>
  <c r="F40" i="9" s="1"/>
  <c r="J40" i="9"/>
  <c r="Q40" i="9"/>
  <c r="R40" i="9"/>
  <c r="S40" i="9" s="1"/>
  <c r="E42" i="9"/>
  <c r="F42" i="9" s="1"/>
  <c r="G42" i="9"/>
  <c r="H42" i="9"/>
  <c r="I42" i="9"/>
  <c r="J42" i="9"/>
  <c r="Q42" i="9"/>
  <c r="R42" i="9"/>
  <c r="S42" i="9" s="1"/>
  <c r="G44" i="9"/>
  <c r="H44" i="9"/>
  <c r="I44" i="9"/>
  <c r="E44" i="9" s="1"/>
  <c r="F44" i="9" s="1"/>
  <c r="J44" i="9"/>
  <c r="Q44" i="9"/>
  <c r="R44" i="9"/>
  <c r="S44" i="9"/>
  <c r="G46" i="9"/>
  <c r="H46" i="9"/>
  <c r="I46" i="9"/>
  <c r="E46" i="9" s="1"/>
  <c r="F46" i="9" s="1"/>
  <c r="J46" i="9"/>
  <c r="Q46" i="9"/>
  <c r="R46" i="9"/>
  <c r="S46" i="9"/>
  <c r="G48" i="9"/>
  <c r="H48" i="9"/>
  <c r="I48" i="9"/>
  <c r="E48" i="9" s="1"/>
  <c r="F48" i="9" s="1"/>
  <c r="J48" i="9"/>
  <c r="Q48" i="9"/>
  <c r="R48" i="9"/>
  <c r="S48" i="9" s="1"/>
  <c r="G50" i="9"/>
  <c r="H50" i="9"/>
  <c r="I50" i="9"/>
  <c r="E50" i="9" s="1"/>
  <c r="J50" i="9"/>
  <c r="Q50" i="9"/>
  <c r="R50" i="9"/>
  <c r="S50" i="9" s="1"/>
  <c r="G52" i="9"/>
  <c r="H52" i="9"/>
  <c r="I52" i="9"/>
  <c r="E52" i="9" s="1"/>
  <c r="J52" i="9"/>
  <c r="Q52" i="9"/>
  <c r="R52" i="9"/>
  <c r="S52" i="9" s="1"/>
  <c r="E54" i="9"/>
  <c r="F54" i="9" s="1"/>
  <c r="G54" i="9"/>
  <c r="H54" i="9"/>
  <c r="I54" i="9"/>
  <c r="J54" i="9"/>
  <c r="Q54" i="9"/>
  <c r="R54" i="9"/>
  <c r="S54" i="9" s="1"/>
  <c r="G56" i="9"/>
  <c r="H56" i="9"/>
  <c r="I56" i="9"/>
  <c r="E56" i="9" s="1"/>
  <c r="F56" i="9" s="1"/>
  <c r="J56" i="9"/>
  <c r="Q56" i="9"/>
  <c r="R56" i="9"/>
  <c r="S56" i="9" s="1"/>
  <c r="E58" i="9"/>
  <c r="F58" i="9" s="1"/>
  <c r="G58" i="9"/>
  <c r="H58" i="9"/>
  <c r="I58" i="9"/>
  <c r="J58" i="9"/>
  <c r="Q58" i="9"/>
  <c r="R58" i="9"/>
  <c r="S58" i="9" s="1"/>
  <c r="G60" i="9"/>
  <c r="H60" i="9"/>
  <c r="I60" i="9"/>
  <c r="E60" i="9" s="1"/>
  <c r="F60" i="9" s="1"/>
  <c r="J60" i="9"/>
  <c r="Q60" i="9"/>
  <c r="R60" i="9"/>
  <c r="S60" i="9" s="1"/>
  <c r="G62" i="9"/>
  <c r="H62" i="9"/>
  <c r="I62" i="9"/>
  <c r="E62" i="9" s="1"/>
  <c r="F62" i="9" s="1"/>
  <c r="J62" i="9"/>
  <c r="Q62" i="9"/>
  <c r="R62" i="9"/>
  <c r="S62" i="9" s="1"/>
  <c r="G64" i="9"/>
  <c r="H64" i="9"/>
  <c r="I64" i="9"/>
  <c r="E64" i="9" s="1"/>
  <c r="F64" i="9" s="1"/>
  <c r="J64" i="9"/>
  <c r="Q64" i="9"/>
  <c r="R64" i="9"/>
  <c r="S64" i="9" s="1"/>
  <c r="G66" i="9"/>
  <c r="H66" i="9"/>
  <c r="I66" i="9"/>
  <c r="E66" i="9" s="1"/>
  <c r="J66" i="9"/>
  <c r="Q66" i="9"/>
  <c r="R66" i="9"/>
  <c r="S66" i="9" s="1"/>
  <c r="G68" i="9"/>
  <c r="H68" i="9"/>
  <c r="I68" i="9"/>
  <c r="E68" i="9" s="1"/>
  <c r="J68" i="9"/>
  <c r="Q68" i="9"/>
  <c r="R68" i="9"/>
  <c r="S68" i="9" s="1"/>
  <c r="E70" i="9"/>
  <c r="F70" i="9"/>
  <c r="G70" i="9"/>
  <c r="H70" i="9"/>
  <c r="I70" i="9"/>
  <c r="J70" i="9"/>
  <c r="Q70" i="9"/>
  <c r="R70" i="9"/>
  <c r="S70" i="9" s="1"/>
  <c r="G72" i="9"/>
  <c r="H72" i="9"/>
  <c r="I72" i="9"/>
  <c r="E72" i="9" s="1"/>
  <c r="F72" i="9" s="1"/>
  <c r="J72" i="9"/>
  <c r="Q72" i="9"/>
  <c r="R72" i="9"/>
  <c r="S72" i="9" s="1"/>
  <c r="E74" i="9"/>
  <c r="F74" i="9" s="1"/>
  <c r="G74" i="9"/>
  <c r="H74" i="9"/>
  <c r="I74" i="9"/>
  <c r="J74" i="9"/>
  <c r="Q74" i="9"/>
  <c r="R74" i="9"/>
  <c r="S74" i="9" s="1"/>
  <c r="G76" i="9"/>
  <c r="H76" i="9"/>
  <c r="I76" i="9"/>
  <c r="E76" i="9" s="1"/>
  <c r="F76" i="9" s="1"/>
  <c r="J76" i="9"/>
  <c r="Q76" i="9"/>
  <c r="R76" i="9"/>
  <c r="S76" i="9"/>
  <c r="G78" i="9"/>
  <c r="H78" i="9"/>
  <c r="I78" i="9"/>
  <c r="E78" i="9" s="1"/>
  <c r="F78" i="9" s="1"/>
  <c r="J78" i="9"/>
  <c r="Q78" i="9"/>
  <c r="R78" i="9"/>
  <c r="S78" i="9"/>
  <c r="G80" i="9"/>
  <c r="H80" i="9"/>
  <c r="I80" i="9"/>
  <c r="E80" i="9" s="1"/>
  <c r="J80" i="9"/>
  <c r="Q80" i="9"/>
  <c r="R80" i="9"/>
  <c r="S80" i="9" s="1"/>
  <c r="G82" i="9"/>
  <c r="H82" i="9"/>
  <c r="I82" i="9"/>
  <c r="E82" i="9" s="1"/>
  <c r="J82" i="9"/>
  <c r="Q82" i="9"/>
  <c r="R82" i="9"/>
  <c r="S82" i="9" s="1"/>
  <c r="G84" i="9"/>
  <c r="H84" i="9"/>
  <c r="I84" i="9"/>
  <c r="E84" i="9" s="1"/>
  <c r="J84" i="9"/>
  <c r="Q84" i="9"/>
  <c r="R84" i="9"/>
  <c r="S84" i="9" s="1"/>
  <c r="E86" i="9"/>
  <c r="F86" i="9"/>
  <c r="G86" i="9"/>
  <c r="H86" i="9"/>
  <c r="I86" i="9"/>
  <c r="J86" i="9"/>
  <c r="Q86" i="9"/>
  <c r="R86" i="9"/>
  <c r="S86" i="9" s="1"/>
  <c r="G88" i="9"/>
  <c r="H88" i="9"/>
  <c r="I88" i="9"/>
  <c r="E88" i="9" s="1"/>
  <c r="F88" i="9" s="1"/>
  <c r="J88" i="9"/>
  <c r="Q88" i="9"/>
  <c r="R88" i="9"/>
  <c r="S88" i="9" s="1"/>
  <c r="G6" i="9"/>
  <c r="Q6" i="9"/>
  <c r="R6" i="9"/>
  <c r="S6" i="9" s="1"/>
  <c r="T12" i="9"/>
  <c r="T86" i="9" l="1"/>
  <c r="T80" i="9"/>
  <c r="D80" i="9" s="1"/>
  <c r="T74" i="9"/>
  <c r="T70" i="9"/>
  <c r="T10" i="9"/>
  <c r="T82" i="9"/>
  <c r="D82" i="9" s="1"/>
  <c r="T72" i="9"/>
  <c r="D72" i="9" s="1"/>
  <c r="T66" i="9"/>
  <c r="D66" i="9" s="1"/>
  <c r="T62" i="9"/>
  <c r="D62" i="9" s="1"/>
  <c r="T60" i="9"/>
  <c r="D60" i="9" s="1"/>
  <c r="T8" i="9"/>
  <c r="D8" i="9" s="1"/>
  <c r="E3" i="19" s="1"/>
  <c r="T84" i="9"/>
  <c r="T68" i="9"/>
  <c r="D68" i="9" s="1"/>
  <c r="T58" i="9"/>
  <c r="D58" i="9" s="1"/>
  <c r="T54" i="9"/>
  <c r="D54" i="9" s="1"/>
  <c r="T48" i="9"/>
  <c r="D48" i="9" s="1"/>
  <c r="E23" i="19" s="1"/>
  <c r="F23" i="19" s="1"/>
  <c r="T88" i="9"/>
  <c r="D88" i="9" s="1"/>
  <c r="T64" i="9"/>
  <c r="D64" i="9" s="1"/>
  <c r="T56" i="9"/>
  <c r="D56" i="9" s="1"/>
  <c r="T50" i="9"/>
  <c r="T46" i="9"/>
  <c r="D46" i="9" s="1"/>
  <c r="E22" i="19" s="1"/>
  <c r="F22" i="19" s="1"/>
  <c r="T44" i="9"/>
  <c r="D44" i="9" s="1"/>
  <c r="E21" i="19" s="1"/>
  <c r="F21" i="19" s="1"/>
  <c r="T52" i="9"/>
  <c r="D52" i="9" s="1"/>
  <c r="E25" i="19" s="1"/>
  <c r="F25" i="19" s="1"/>
  <c r="T42" i="9"/>
  <c r="D42" i="9" s="1"/>
  <c r="E20" i="19" s="1"/>
  <c r="F20" i="19" s="1"/>
  <c r="T38" i="9"/>
  <c r="D38" i="9" s="1"/>
  <c r="E18" i="19" s="1"/>
  <c r="F18" i="19" s="1"/>
  <c r="T32" i="9"/>
  <c r="D32" i="9" s="1"/>
  <c r="E15" i="19" s="1"/>
  <c r="F15" i="19" s="1"/>
  <c r="T22" i="9"/>
  <c r="D22" i="9" s="1"/>
  <c r="T40" i="9"/>
  <c r="D40" i="9" s="1"/>
  <c r="E19" i="19" s="1"/>
  <c r="F19" i="19" s="1"/>
  <c r="T34" i="9"/>
  <c r="D34" i="9" s="1"/>
  <c r="E16" i="19" s="1"/>
  <c r="F16" i="19" s="1"/>
  <c r="T30" i="9"/>
  <c r="D30" i="9" s="1"/>
  <c r="E14" i="19" s="1"/>
  <c r="F14" i="19" s="1"/>
  <c r="T28" i="9"/>
  <c r="D28" i="9" s="1"/>
  <c r="T24" i="9"/>
  <c r="D24" i="9" s="1"/>
  <c r="T18" i="9"/>
  <c r="D18" i="9" s="1"/>
  <c r="T16" i="9"/>
  <c r="D16" i="9" s="1"/>
  <c r="T6" i="9"/>
  <c r="T36" i="9"/>
  <c r="D36" i="9" s="1"/>
  <c r="E17" i="19" s="1"/>
  <c r="F17" i="19" s="1"/>
  <c r="T26" i="9"/>
  <c r="D26" i="9" s="1"/>
  <c r="T20" i="9"/>
  <c r="D20" i="9" s="1"/>
  <c r="T78" i="9"/>
  <c r="D78" i="9" s="1"/>
  <c r="T76" i="9"/>
  <c r="D76" i="9" s="1"/>
  <c r="T14" i="9"/>
  <c r="D14" i="9" s="1"/>
  <c r="D86" i="9"/>
  <c r="D74" i="9"/>
  <c r="D70" i="9"/>
  <c r="F34" i="9"/>
  <c r="F36" i="9"/>
  <c r="F20" i="9"/>
  <c r="D10" i="9"/>
  <c r="F80" i="9"/>
  <c r="F66" i="9"/>
  <c r="F82" i="9"/>
  <c r="D84" i="9"/>
  <c r="F84" i="9"/>
  <c r="F68" i="9"/>
  <c r="F52" i="9"/>
  <c r="D50" i="9"/>
  <c r="E24" i="19" s="1"/>
  <c r="F24" i="19" s="1"/>
  <c r="F50" i="9"/>
  <c r="D12" i="9"/>
  <c r="G27" i="19" l="1"/>
  <c r="C13" i="19"/>
  <c r="C12" i="19"/>
  <c r="C11" i="19"/>
  <c r="C10" i="19"/>
  <c r="C9" i="19"/>
  <c r="C8" i="19"/>
  <c r="C7" i="19"/>
  <c r="C6" i="19"/>
  <c r="C5" i="19"/>
  <c r="C4" i="19"/>
  <c r="C3" i="19"/>
  <c r="C2" i="19"/>
  <c r="B13" i="19"/>
  <c r="B12" i="19"/>
  <c r="B11" i="19"/>
  <c r="B10" i="19"/>
  <c r="B9" i="19"/>
  <c r="B8" i="19"/>
  <c r="B7" i="19"/>
  <c r="B6" i="19"/>
  <c r="B5" i="19"/>
  <c r="B2" i="19"/>
  <c r="B3" i="19"/>
  <c r="B4" i="19"/>
  <c r="J6" i="9" l="1"/>
  <c r="I6" i="9"/>
  <c r="E6" i="9" s="1"/>
  <c r="H6" i="9"/>
  <c r="F6" i="9" l="1"/>
  <c r="D6" i="9"/>
  <c r="E8" i="19"/>
  <c r="F8" i="19" s="1"/>
  <c r="E11" i="19"/>
  <c r="F11" i="19" s="1"/>
  <c r="E9" i="19"/>
  <c r="F9" i="19" s="1"/>
  <c r="E10" i="19"/>
  <c r="F10" i="19" s="1"/>
  <c r="E5" i="19"/>
  <c r="F5" i="19" s="1"/>
  <c r="E12" i="19"/>
  <c r="F12" i="19" s="1"/>
  <c r="E7" i="19"/>
  <c r="F7" i="19" s="1"/>
  <c r="E6" i="19"/>
  <c r="F6" i="19" s="1"/>
  <c r="E13" i="19"/>
  <c r="F13" i="19" s="1"/>
  <c r="J4" i="6"/>
  <c r="D4" i="6"/>
  <c r="J3" i="6"/>
  <c r="D3" i="6" a="1"/>
  <c r="D3" i="6" s="1"/>
  <c r="J2" i="6"/>
  <c r="J1" i="6"/>
  <c r="E2" i="19" l="1"/>
  <c r="F2" i="19" s="1"/>
  <c r="F27" i="19" s="1"/>
  <c r="E4" i="19"/>
  <c r="F4" i="19" s="1"/>
  <c r="F3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de Deus</author>
  </authors>
  <commentList>
    <comment ref="F6" authorId="0" shapeId="0" xr:uid="{83D82214-5DED-496F-8CEC-B4B156C03BC8}">
      <text>
        <r>
          <rPr>
            <b/>
            <sz val="9"/>
            <color indexed="81"/>
            <rFont val="Segoe UI"/>
            <family val="2"/>
          </rPr>
          <t>Fabio de Deus:</t>
        </r>
        <r>
          <rPr>
            <sz val="9"/>
            <color indexed="81"/>
            <rFont val="Segoe UI"/>
            <family val="2"/>
          </rPr>
          <t xml:space="preserve">
Enviado WhatsApp 13/05</t>
        </r>
      </text>
    </comment>
    <comment ref="H6" authorId="0" shapeId="0" xr:uid="{68DB4927-ED3F-4819-972D-90B5CDF904F2}">
      <text>
        <r>
          <rPr>
            <b/>
            <sz val="9"/>
            <color indexed="81"/>
            <rFont val="Segoe UI"/>
            <family val="2"/>
          </rPr>
          <t>Fabio de Deus:</t>
        </r>
        <r>
          <rPr>
            <sz val="9"/>
            <color indexed="81"/>
            <rFont val="Segoe UI"/>
            <family val="2"/>
          </rPr>
          <t xml:space="preserve">
Enviado WhatsApp </t>
        </r>
      </text>
    </comment>
    <comment ref="F7" authorId="0" shapeId="0" xr:uid="{932079C1-1F7B-47BA-8DA9-B779B33B8FFD}">
      <text>
        <r>
          <rPr>
            <b/>
            <sz val="9"/>
            <color indexed="81"/>
            <rFont val="Segoe UI"/>
            <family val="2"/>
          </rPr>
          <t>Fabio de Deus:</t>
        </r>
        <r>
          <rPr>
            <sz val="9"/>
            <color indexed="81"/>
            <rFont val="Segoe UI"/>
            <family val="2"/>
          </rPr>
          <t xml:space="preserve">
Ninguem atende</t>
        </r>
      </text>
    </comment>
    <comment ref="D9" authorId="0" shapeId="0" xr:uid="{26C01C86-8983-469E-A38C-B513589C1BFF}">
      <text>
        <r>
          <rPr>
            <b/>
            <sz val="9"/>
            <color indexed="81"/>
            <rFont val="Segoe UI"/>
            <family val="2"/>
          </rPr>
          <t xml:space="preserve">Fabio de Deus:
</t>
        </r>
        <r>
          <rPr>
            <sz val="9"/>
            <color indexed="81"/>
            <rFont val="Segoe UI"/>
            <family val="2"/>
          </rPr>
          <t>Estava errado:
contato@maxfrioatacado.com</t>
        </r>
      </text>
    </comment>
    <comment ref="F9" authorId="0" shapeId="0" xr:uid="{91F1C773-C7A4-4C64-AA68-7E41BCADA8EC}">
      <text>
        <r>
          <rPr>
            <b/>
            <sz val="9"/>
            <color indexed="81"/>
            <rFont val="Segoe UI"/>
            <family val="2"/>
          </rPr>
          <t>Fabio de Deus:</t>
        </r>
        <r>
          <rPr>
            <sz val="9"/>
            <color indexed="81"/>
            <rFont val="Segoe UI"/>
            <family val="2"/>
          </rPr>
          <t xml:space="preserve">
Recado na caixa postal</t>
        </r>
      </text>
    </comment>
    <comment ref="I9" authorId="0" shapeId="0" xr:uid="{B0E7832A-B093-45FB-B942-F27AE30AB90A}">
      <text>
        <r>
          <rPr>
            <b/>
            <sz val="9"/>
            <color indexed="81"/>
            <rFont val="Segoe UI"/>
            <family val="2"/>
          </rPr>
          <t>Fabio de Deus:</t>
        </r>
        <r>
          <rPr>
            <sz val="9"/>
            <color indexed="81"/>
            <rFont val="Segoe UI"/>
            <family val="2"/>
          </rPr>
          <t xml:space="preserve">
Disse que não usa caixa postal (lido)
</t>
        </r>
      </text>
    </comment>
    <comment ref="E12" authorId="0" shapeId="0" xr:uid="{98BE6B01-7063-4B56-A00D-918E25CA99CF}">
      <text>
        <r>
          <rPr>
            <b/>
            <sz val="9"/>
            <color indexed="81"/>
            <rFont val="Segoe UI"/>
            <family val="2"/>
          </rPr>
          <t>Fabio de Deus:</t>
        </r>
        <r>
          <rPr>
            <sz val="9"/>
            <color indexed="81"/>
            <rFont val="Segoe UI"/>
            <family val="2"/>
          </rPr>
          <t xml:space="preserve">
(11) 2501-4610</t>
        </r>
      </text>
    </comment>
    <comment ref="H12" authorId="0" shapeId="0" xr:uid="{0DBE0473-E03C-4934-919F-2B1753AA0EF7}">
      <text>
        <r>
          <rPr>
            <b/>
            <sz val="9"/>
            <color indexed="81"/>
            <rFont val="Segoe UI"/>
            <family val="2"/>
          </rPr>
          <t>Fabio de Deus:</t>
        </r>
        <r>
          <rPr>
            <sz val="9"/>
            <color indexed="81"/>
            <rFont val="Segoe UI"/>
            <family val="2"/>
          </rPr>
          <t xml:space="preserve">
Enviado WhatsApp </t>
        </r>
      </text>
    </comment>
    <comment ref="I12" authorId="0" shapeId="0" xr:uid="{3F1EC8FE-854D-4B7B-A164-D2414FFEAD71}">
      <text>
        <r>
          <rPr>
            <b/>
            <sz val="9"/>
            <color indexed="81"/>
            <rFont val="Segoe UI"/>
            <family val="2"/>
          </rPr>
          <t>Fabio de Deus:</t>
        </r>
        <r>
          <rPr>
            <sz val="9"/>
            <color indexed="81"/>
            <rFont val="Segoe UI"/>
            <family val="2"/>
          </rPr>
          <t xml:space="preserve">
Confirmou que recebeu pelo WhatsApp (não recebi nenhuma mensagem pelo outlook)</t>
        </r>
      </text>
    </comment>
  </commentList>
</comments>
</file>

<file path=xl/sharedStrings.xml><?xml version="1.0" encoding="utf-8"?>
<sst xmlns="http://schemas.openxmlformats.org/spreadsheetml/2006/main" count="193" uniqueCount="122">
  <si>
    <t>Fonte</t>
  </si>
  <si>
    <t>Contato</t>
  </si>
  <si>
    <t>área</t>
  </si>
  <si>
    <t>https://www.spellclimatizacao.com.br/</t>
  </si>
  <si>
    <t>spell@spellclimatizacao.com.br</t>
  </si>
  <si>
    <t xml:space="preserve">
+55 (11) 2653-0291 | 2651-3297</t>
  </si>
  <si>
    <t>Juliana, disse que recebeu e vai encaminhar para o departamento técnico</t>
  </si>
  <si>
    <t>Google</t>
  </si>
  <si>
    <t>https://heronarcondicionado.com.br/?gad_source=1&amp;gclid=CjwKCAjw9IayBhBJEiwAVuc3fhlMmtNIQm_iskoJ6qyeGto1D0fC7cQa4I7hv9MyUmKxzGkvOLsLoxoC41oQAvD_BwE</t>
  </si>
  <si>
    <t>atendimento@herontecnologiatermica.com.br</t>
  </si>
  <si>
    <t>(11) 4211-1124</t>
  </si>
  <si>
    <t>Rodrigo, vai analisar.</t>
  </si>
  <si>
    <t>http://climaplan.com.br/contato.php</t>
  </si>
  <si>
    <t>contato@climaplan.com.br</t>
  </si>
  <si>
    <t>55 (11) 2914-3667 - 55 (11) 2068-9351</t>
  </si>
  <si>
    <t>Selma, pediu para mandar no comercial</t>
  </si>
  <si>
    <t>https://refrisat.com.br/lp/climatizacao/?utm_source=google_ads&amp;utm_campaign=%5BLeads%5D+Climatiza%C3%A7%C3%A3o+Brasil&amp;utmAc=9143885993&amp;gad_source=1&amp;gclid=CjwKCAjw9IayBhBJEiwAVuc3fnZAPcDhdiIbSXESTE7Bi5jyBnmIVHIPFgYzmed3NB1RkpNnNjVlRxoCExsQAvD_BwE</t>
  </si>
  <si>
    <t>refrisat@refrisat.com.br</t>
  </si>
  <si>
    <t>55 (11) 2423-5900</t>
  </si>
  <si>
    <t>Cristiane, pediu para mandar no e-mail dela: cristiane.silva@refrisat.com.br</t>
  </si>
  <si>
    <t>https://www.akmx.com.br/contato</t>
  </si>
  <si>
    <t>(11) 4000.1845</t>
  </si>
  <si>
    <t>http://www.maxfrio.com.br/index_b.asp</t>
  </si>
  <si>
    <t>(11) 3044-5453</t>
  </si>
  <si>
    <t>maxfrioatacado.com</t>
  </si>
  <si>
    <t>contato@maxfrioatacado.com</t>
  </si>
  <si>
    <t>(18) 3281-0985</t>
  </si>
  <si>
    <t>MaxFrio Solution</t>
  </si>
  <si>
    <t>(11) 98992-5184</t>
  </si>
  <si>
    <t>Projetos de climatização</t>
  </si>
  <si>
    <t>https://kamusengenharia.com.br/</t>
  </si>
  <si>
    <t>projetos@kamusengenharia.com.br</t>
  </si>
  <si>
    <t>(11) 97886-8588</t>
  </si>
  <si>
    <t>Respondeu que tem interesse</t>
  </si>
  <si>
    <t>https://www.l21engenharia.com.br/</t>
  </si>
  <si>
    <t>l21@l21engenharia.com.br</t>
  </si>
  <si>
    <t>Telefone</t>
  </si>
  <si>
    <t>Ligação</t>
  </si>
  <si>
    <t>E-mail</t>
  </si>
  <si>
    <t>Site</t>
  </si>
  <si>
    <t>Data</t>
  </si>
  <si>
    <t>Falei com Eloiza, ficou de conversar com o responsável e pedir um retorno.</t>
  </si>
  <si>
    <t>Larisa, disse que combinou com o departamento dela de receber até hoje. Ficou de responder</t>
  </si>
  <si>
    <t>antonio.moreira@frileste.com.br</t>
  </si>
  <si>
    <t>Antonio, pediu para mandar no e-mail dele</t>
  </si>
  <si>
    <t>paulo.sanches@akmx.com.br</t>
  </si>
  <si>
    <t>(11) 94485-4690</t>
  </si>
  <si>
    <t>Pediu para reencaminhar, Pedi um retorno até o final do dia.</t>
  </si>
  <si>
    <t>Novamento telefone cai na Ura, deixei recado.</t>
  </si>
  <si>
    <t>ok</t>
  </si>
  <si>
    <t>Objeto</t>
  </si>
  <si>
    <t>Declínio</t>
  </si>
  <si>
    <t>TOTAL DE DIAS</t>
  </si>
  <si>
    <t>Solicitou Visita</t>
  </si>
  <si>
    <t>Aguardando Retorno</t>
  </si>
  <si>
    <t>Data atual/data finalização do processo</t>
  </si>
  <si>
    <t>(Preencher quando processo for finalizado)</t>
  </si>
  <si>
    <t>Resposta Aceita</t>
  </si>
  <si>
    <t>Proposta Desconsiderada</t>
  </si>
  <si>
    <t>ORIGEM</t>
  </si>
  <si>
    <t>STATUS</t>
  </si>
  <si>
    <t>EMPRESA</t>
  </si>
  <si>
    <t>ENVIO E-MAIL</t>
  </si>
  <si>
    <t>RECEBIMENTO PROPOSTA</t>
  </si>
  <si>
    <t>E-MAIL</t>
  </si>
  <si>
    <t>RESP. EMPRESA</t>
  </si>
  <si>
    <t>TELEFONE</t>
  </si>
  <si>
    <t>OBS.</t>
  </si>
  <si>
    <t>DIAS/ FORNEC.</t>
  </si>
  <si>
    <t>Índices</t>
  </si>
  <si>
    <t>Número</t>
  </si>
  <si>
    <t>OBS</t>
  </si>
  <si>
    <t>OBJETO</t>
  </si>
  <si>
    <t>QUANTIDADE</t>
  </si>
  <si>
    <t>UNIDADE</t>
  </si>
  <si>
    <t>VALOR ADOTADO</t>
  </si>
  <si>
    <t>VALOR TOTAL</t>
  </si>
  <si>
    <t>JUSTIFICATIVA:</t>
  </si>
  <si>
    <t>I0 original</t>
  </si>
  <si>
    <t>ITEM</t>
  </si>
  <si>
    <t>Unidade</t>
  </si>
  <si>
    <t>Valor adotado na data do I0 atual</t>
  </si>
  <si>
    <t>Adotada</t>
  </si>
  <si>
    <t>Média adotada</t>
  </si>
  <si>
    <t>Média Saneada</t>
  </si>
  <si>
    <t>Menor Valor</t>
  </si>
  <si>
    <t>Média Aritmética</t>
  </si>
  <si>
    <t>Mediana</t>
  </si>
  <si>
    <t>Índice atual</t>
  </si>
  <si>
    <t>Justificativa do preço adotado</t>
  </si>
  <si>
    <t xml:space="preserve"> </t>
  </si>
  <si>
    <r>
      <t xml:space="preserve"> </t>
    </r>
    <r>
      <rPr>
        <b/>
        <sz val="11"/>
        <color indexed="8"/>
        <rFont val="Arial"/>
        <family val="2"/>
      </rPr>
      <t xml:space="preserve">CODIGO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</si>
  <si>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DESCRIÇÃO DOS SERVIÇOS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</si>
  <si>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VALOR DO ITEM + BDI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</si>
  <si>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MÊS 1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</si>
  <si>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MÊS 2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</si>
  <si>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MÊS 3 </t>
    </r>
    <r>
      <rPr>
        <sz val="11"/>
        <rFont val="Arial"/>
        <family val="2"/>
      </rPr>
      <t xml:space="preserve"> </t>
    </r>
  </si>
  <si>
    <r>
      <t xml:space="preserve"> </t>
    </r>
    <r>
      <rPr>
        <b/>
        <sz val="11"/>
        <color indexed="8"/>
        <rFont val="Arial"/>
        <family val="2"/>
      </rPr>
      <t xml:space="preserve">MÊS 4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</si>
  <si>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01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</si>
  <si>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"AS BUIT" DOS PRÉDIOS I,II,III EM BIM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</si>
  <si>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50%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</si>
  <si>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02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</si>
  <si>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PROJETOS DE CLIMATIZAÇÃO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</si>
  <si>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25%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</si>
  <si>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03 </t>
    </r>
    <r>
      <rPr>
        <sz val="11"/>
        <rFont val="Arial"/>
        <family val="2"/>
      </rPr>
      <t xml:space="preserve"> </t>
    </r>
  </si>
  <si>
    <r>
      <t xml:space="preserve"> </t>
    </r>
    <r>
      <rPr>
        <sz val="11"/>
        <color indexed="8"/>
        <rFont val="Arial"/>
        <family val="2"/>
      </rPr>
      <t xml:space="preserve">PROJETOS COMPLEMENTARES </t>
    </r>
    <r>
      <rPr>
        <sz val="11"/>
        <rFont val="Arial"/>
        <family val="2"/>
      </rPr>
      <t xml:space="preserve"> </t>
    </r>
  </si>
  <si>
    <t>Empresa 1</t>
  </si>
  <si>
    <t>Empresa 2</t>
  </si>
  <si>
    <t>Empresa 3</t>
  </si>
  <si>
    <t>Empresa 4</t>
  </si>
  <si>
    <t>Empresa 5</t>
  </si>
  <si>
    <t>Empresa 6</t>
  </si>
  <si>
    <t>Itens medidos</t>
  </si>
  <si>
    <t>1) Adotado valor da média saneada conforme Procedimento EPC...
2) Adotado menor preço devido...
3) Adotado preço do fornecedor X devido...</t>
  </si>
  <si>
    <t>Mês atual</t>
  </si>
  <si>
    <t>Tempo passado entre os períodos</t>
  </si>
  <si>
    <t>Mês anterior ao inicial</t>
  </si>
  <si>
    <t>Índice do mês anterior ao inicial</t>
  </si>
  <si>
    <t>Data em texto</t>
  </si>
  <si>
    <t>IPCA</t>
  </si>
  <si>
    <t>Fonte: https://sidra.ibge.gov.br/tabela/6691</t>
  </si>
  <si>
    <t>Jul/25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</si>
</sst>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rgb="FF29293A"/>
      <name val="Segoe U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8497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1" fillId="0" borderId="0"/>
  </cellStyleXfs>
  <cellXfs count="164">
    <xf numFmtId="0" fontId="0" fillId="0" borderId="0" xfId="0"/>
    <xf numFmtId="0" fontId="5" fillId="4" borderId="1" xfId="0" applyFont="1" applyFill="1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2" borderId="1" xfId="0" applyFill="1" applyBorder="1" applyAlignment="1">
      <alignment wrapText="1"/>
    </xf>
    <xf numFmtId="16" fontId="0" fillId="2" borderId="1" xfId="0" applyNumberFormat="1" applyFill="1" applyBorder="1"/>
    <xf numFmtId="0" fontId="0" fillId="3" borderId="1" xfId="0" applyFill="1" applyBorder="1"/>
    <xf numFmtId="0" fontId="1" fillId="3" borderId="1" xfId="1" applyFill="1" applyBorder="1"/>
    <xf numFmtId="0" fontId="0" fillId="3" borderId="1" xfId="0" applyFill="1" applyBorder="1" applyAlignment="1">
      <alignment wrapText="1"/>
    </xf>
    <xf numFmtId="16" fontId="0" fillId="3" borderId="1" xfId="0" applyNumberFormat="1" applyFill="1" applyBorder="1"/>
    <xf numFmtId="0" fontId="1" fillId="2" borderId="1" xfId="1" applyFill="1" applyBorder="1"/>
    <xf numFmtId="0" fontId="0" fillId="0" borderId="2" xfId="0" applyBorder="1"/>
    <xf numFmtId="0" fontId="1" fillId="0" borderId="2" xfId="1" applyBorder="1"/>
    <xf numFmtId="3" fontId="1" fillId="0" borderId="2" xfId="1" applyNumberFormat="1" applyBorder="1"/>
    <xf numFmtId="16" fontId="0" fillId="0" borderId="2" xfId="0" applyNumberFormat="1" applyBorder="1"/>
    <xf numFmtId="0" fontId="0" fillId="5" borderId="3" xfId="0" applyFill="1" applyBorder="1"/>
    <xf numFmtId="0" fontId="0" fillId="5" borderId="3" xfId="0" applyFill="1" applyBorder="1" applyAlignment="1">
      <alignment wrapText="1"/>
    </xf>
    <xf numFmtId="0" fontId="0" fillId="6" borderId="0" xfId="0" applyFill="1"/>
    <xf numFmtId="0" fontId="1" fillId="6" borderId="0" xfId="1" applyFill="1" applyBorder="1" applyAlignment="1">
      <alignment vertical="center" wrapText="1"/>
    </xf>
    <xf numFmtId="0" fontId="1" fillId="6" borderId="0" xfId="1" applyFill="1" applyBorder="1"/>
    <xf numFmtId="0" fontId="0" fillId="6" borderId="0" xfId="0" applyFill="1" applyAlignment="1">
      <alignment wrapText="1"/>
    </xf>
    <xf numFmtId="16" fontId="0" fillId="6" borderId="0" xfId="0" applyNumberFormat="1" applyFill="1"/>
    <xf numFmtId="0" fontId="0" fillId="6" borderId="4" xfId="0" applyFill="1" applyBorder="1"/>
    <xf numFmtId="0" fontId="0" fillId="6" borderId="5" xfId="0" applyFill="1" applyBorder="1"/>
    <xf numFmtId="0" fontId="0" fillId="6" borderId="10" xfId="0" applyFill="1" applyBorder="1"/>
    <xf numFmtId="0" fontId="0" fillId="6" borderId="9" xfId="0" applyFill="1" applyBorder="1"/>
    <xf numFmtId="0" fontId="0" fillId="6" borderId="9" xfId="0" applyFill="1" applyBorder="1" applyAlignment="1">
      <alignment wrapText="1"/>
    </xf>
    <xf numFmtId="0" fontId="0" fillId="6" borderId="11" xfId="0" applyFill="1" applyBorder="1"/>
    <xf numFmtId="0" fontId="1" fillId="3" borderId="1" xfId="1" applyFill="1" applyBorder="1" applyAlignment="1">
      <alignment vertical="center" wrapText="1"/>
    </xf>
    <xf numFmtId="0" fontId="4" fillId="3" borderId="1" xfId="0" applyFont="1" applyFill="1" applyBorder="1"/>
    <xf numFmtId="0" fontId="0" fillId="3" borderId="6" xfId="0" applyFill="1" applyBorder="1"/>
    <xf numFmtId="0" fontId="1" fillId="3" borderId="7" xfId="1" applyFill="1" applyBorder="1" applyAlignment="1">
      <alignment vertical="center" wrapText="1"/>
    </xf>
    <xf numFmtId="0" fontId="1" fillId="3" borderId="7" xfId="1" applyFill="1" applyBorder="1"/>
    <xf numFmtId="0" fontId="0" fillId="3" borderId="7" xfId="0" applyFill="1" applyBorder="1" applyAlignment="1">
      <alignment wrapText="1"/>
    </xf>
    <xf numFmtId="16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1" xfId="0" applyFill="1" applyBorder="1"/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7" borderId="0" xfId="0" applyFont="1" applyFill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7" fillId="9" borderId="0" xfId="0" applyFont="1" applyFill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7" fillId="10" borderId="0" xfId="0" applyFont="1" applyFill="1" applyAlignment="1">
      <alignment horizontal="right" vertical="center"/>
    </xf>
    <xf numFmtId="14" fontId="8" fillId="11" borderId="0" xfId="0" applyNumberFormat="1" applyFont="1" applyFill="1" applyAlignment="1">
      <alignment vertical="center"/>
    </xf>
    <xf numFmtId="0" fontId="7" fillId="8" borderId="0" xfId="0" applyFont="1" applyFill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7" fillId="12" borderId="0" xfId="0" applyFont="1" applyFill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" fontId="11" fillId="0" borderId="1" xfId="4" applyNumberFormat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2" fillId="0" borderId="11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43" fontId="9" fillId="0" borderId="18" xfId="2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43" fontId="9" fillId="0" borderId="23" xfId="2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/>
    </xf>
    <xf numFmtId="0" fontId="12" fillId="6" borderId="11" xfId="0" applyFont="1" applyFill="1" applyBorder="1" applyAlignment="1">
      <alignment vertical="center" wrapText="1"/>
    </xf>
    <xf numFmtId="164" fontId="9" fillId="6" borderId="9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top" wrapText="1"/>
    </xf>
    <xf numFmtId="164" fontId="12" fillId="8" borderId="25" xfId="0" applyNumberFormat="1" applyFont="1" applyFill="1" applyBorder="1" applyAlignment="1">
      <alignment horizontal="center" vertical="top" wrapText="1"/>
    </xf>
    <xf numFmtId="0" fontId="9" fillId="6" borderId="0" xfId="0" applyFont="1" applyFill="1" applyAlignment="1">
      <alignment horizontal="left" vertical="top" wrapText="1"/>
    </xf>
    <xf numFmtId="0" fontId="9" fillId="6" borderId="18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7" fillId="0" borderId="1" xfId="3" applyNumberFormat="1" applyFont="1" applyFill="1" applyBorder="1" applyAlignment="1">
      <alignment horizontal="center" vertical="center" wrapText="1"/>
    </xf>
    <xf numFmtId="4" fontId="7" fillId="0" borderId="1" xfId="3" applyNumberFormat="1" applyFont="1" applyFill="1" applyBorder="1" applyAlignment="1">
      <alignment horizontal="center" vertical="center" wrapText="1"/>
    </xf>
    <xf numFmtId="164" fontId="8" fillId="0" borderId="1" xfId="3" applyNumberFormat="1" applyFont="1" applyFill="1" applyBorder="1" applyAlignment="1">
      <alignment horizontal="center" vertical="center" wrapText="1"/>
    </xf>
    <xf numFmtId="17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  <xf numFmtId="164" fontId="9" fillId="8" borderId="1" xfId="0" applyNumberFormat="1" applyFont="1" applyFill="1" applyBorder="1" applyAlignment="1">
      <alignment horizontal="center" vertical="center"/>
    </xf>
    <xf numFmtId="0" fontId="7" fillId="8" borderId="1" xfId="3" applyNumberFormat="1" applyFont="1" applyFill="1" applyBorder="1" applyAlignment="1">
      <alignment horizontal="center" vertical="center" wrapText="1"/>
    </xf>
    <xf numFmtId="164" fontId="7" fillId="8" borderId="1" xfId="3" applyNumberFormat="1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/>
    </xf>
    <xf numFmtId="4" fontId="7" fillId="8" borderId="1" xfId="3" applyNumberFormat="1" applyFont="1" applyFill="1" applyBorder="1" applyAlignment="1">
      <alignment horizontal="center" vertical="center" wrapText="1"/>
    </xf>
    <xf numFmtId="164" fontId="8" fillId="8" borderId="1" xfId="3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164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5" fillId="0" borderId="29" xfId="0" applyFont="1" applyBorder="1"/>
    <xf numFmtId="0" fontId="15" fillId="0" borderId="1" xfId="0" applyFont="1" applyBorder="1"/>
    <xf numFmtId="0" fontId="15" fillId="0" borderId="30" xfId="0" applyFont="1" applyBorder="1"/>
    <xf numFmtId="0" fontId="14" fillId="0" borderId="29" xfId="0" applyFont="1" applyBorder="1"/>
    <xf numFmtId="0" fontId="14" fillId="0" borderId="1" xfId="0" applyFont="1" applyBorder="1"/>
    <xf numFmtId="0" fontId="14" fillId="0" borderId="30" xfId="0" applyFont="1" applyBorder="1"/>
    <xf numFmtId="0" fontId="14" fillId="0" borderId="31" xfId="0" applyFont="1" applyBorder="1"/>
    <xf numFmtId="0" fontId="14" fillId="0" borderId="32" xfId="0" applyFont="1" applyBorder="1"/>
    <xf numFmtId="0" fontId="15" fillId="0" borderId="32" xfId="0" applyFont="1" applyBorder="1"/>
    <xf numFmtId="0" fontId="14" fillId="0" borderId="33" xfId="0" applyFont="1" applyBorder="1"/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7" fontId="10" fillId="8" borderId="2" xfId="0" applyNumberFormat="1" applyFont="1" applyFill="1" applyBorder="1" applyAlignment="1">
      <alignment vertical="center"/>
    </xf>
    <xf numFmtId="0" fontId="10" fillId="0" borderId="1" xfId="4" applyFont="1" applyBorder="1" applyAlignment="1">
      <alignment horizontal="center" vertical="center"/>
    </xf>
    <xf numFmtId="0" fontId="11" fillId="0" borderId="1" xfId="4" applyBorder="1" applyAlignment="1">
      <alignment horizontal="center" vertical="center"/>
    </xf>
    <xf numFmtId="49" fontId="10" fillId="8" borderId="3" xfId="0" applyNumberFormat="1" applyFont="1" applyFill="1" applyBorder="1" applyAlignment="1">
      <alignment horizontal="left" vertical="center"/>
    </xf>
    <xf numFmtId="1" fontId="7" fillId="0" borderId="0" xfId="0" applyNumberFormat="1" applyFont="1"/>
    <xf numFmtId="1" fontId="12" fillId="8" borderId="0" xfId="0" applyNumberFormat="1" applyFont="1" applyFill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10" fillId="0" borderId="1" xfId="4" applyFont="1" applyBorder="1" applyAlignment="1">
      <alignment horizontal="center" vertical="center" wrapText="1"/>
    </xf>
    <xf numFmtId="0" fontId="10" fillId="0" borderId="34" xfId="4" applyFont="1" applyBorder="1" applyAlignment="1">
      <alignment horizontal="left" vertical="center"/>
    </xf>
    <xf numFmtId="0" fontId="10" fillId="0" borderId="0" xfId="4" applyFont="1" applyAlignment="1">
      <alignment horizontal="left" vertical="center"/>
    </xf>
    <xf numFmtId="0" fontId="11" fillId="0" borderId="0" xfId="4"/>
    <xf numFmtId="0" fontId="11" fillId="0" borderId="1" xfId="4" applyBorder="1" applyAlignment="1">
      <alignment horizontal="center" vertical="center" wrapText="1"/>
    </xf>
    <xf numFmtId="0" fontId="11" fillId="0" borderId="0" xfId="4" applyAlignment="1">
      <alignment vertical="center"/>
    </xf>
    <xf numFmtId="0" fontId="11" fillId="0" borderId="0" xfId="4" applyAlignment="1">
      <alignment vertical="center" wrapText="1"/>
    </xf>
    <xf numFmtId="17" fontId="10" fillId="0" borderId="1" xfId="4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left" vertical="top" wrapText="1"/>
    </xf>
    <xf numFmtId="0" fontId="9" fillId="6" borderId="7" xfId="0" applyFont="1" applyFill="1" applyBorder="1" applyAlignment="1">
      <alignment horizontal="left" vertical="top" wrapText="1"/>
    </xf>
    <xf numFmtId="0" fontId="9" fillId="6" borderId="8" xfId="0" applyFont="1" applyFill="1" applyBorder="1" applyAlignment="1">
      <alignment horizontal="left" vertical="top" wrapText="1"/>
    </xf>
  </cellXfs>
  <cellStyles count="5">
    <cellStyle name="Hiperlink" xfId="1" builtinId="8"/>
    <cellStyle name="Moeda" xfId="3" builtinId="4"/>
    <cellStyle name="Normal" xfId="0" builtinId="0"/>
    <cellStyle name="Normal 11" xfId="4" xr:uid="{6C0995F8-EFC7-4F13-BDB5-6A8E44E5435A}"/>
    <cellStyle name="Vírgula" xfId="2" builtinId="3"/>
  </cellStyles>
  <dxfs count="80">
    <dxf>
      <fill>
        <patternFill>
          <bgColor rgb="FFF48497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4849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48497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48497"/>
        </patternFill>
      </fill>
    </dxf>
    <dxf>
      <fill>
        <patternFill>
          <bgColor rgb="FFF48497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48497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4849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48497"/>
        </patternFill>
      </fill>
    </dxf>
    <dxf>
      <fill>
        <patternFill>
          <bgColor rgb="FFF48497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4849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48497"/>
        </patternFill>
      </fill>
    </dxf>
    <dxf>
      <fill>
        <patternFill>
          <bgColor rgb="FFF48497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48497"/>
        </patternFill>
      </fill>
    </dxf>
    <dxf>
      <fill>
        <patternFill>
          <bgColor rgb="FFF4849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4849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4849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ojetos@kamusengenharia.com.br" TargetMode="External"/><Relationship Id="rId13" Type="http://schemas.openxmlformats.org/officeDocument/2006/relationships/hyperlink" Target="https://www.akmx.com.br/contato" TargetMode="External"/><Relationship Id="rId3" Type="http://schemas.openxmlformats.org/officeDocument/2006/relationships/hyperlink" Target="tel:40001845" TargetMode="External"/><Relationship Id="rId7" Type="http://schemas.openxmlformats.org/officeDocument/2006/relationships/hyperlink" Target="https://kamusengenharia.com.br/" TargetMode="External"/><Relationship Id="rId12" Type="http://schemas.openxmlformats.org/officeDocument/2006/relationships/hyperlink" Target="mailto:paulo.sanches@akmx.com.br" TargetMode="External"/><Relationship Id="rId2" Type="http://schemas.openxmlformats.org/officeDocument/2006/relationships/hyperlink" Target="mailto:spell@spellclimatizacao.com.br" TargetMode="External"/><Relationship Id="rId1" Type="http://schemas.openxmlformats.org/officeDocument/2006/relationships/hyperlink" Target="http://climaplan.com.br/contato.php" TargetMode="External"/><Relationship Id="rId6" Type="http://schemas.openxmlformats.org/officeDocument/2006/relationships/hyperlink" Target="https://www.facebook.com/maxfriope/?locale=pt_BR" TargetMode="External"/><Relationship Id="rId11" Type="http://schemas.openxmlformats.org/officeDocument/2006/relationships/hyperlink" Target="mailto:antonio.moreira@frileste.com.br" TargetMode="External"/><Relationship Id="rId5" Type="http://schemas.openxmlformats.org/officeDocument/2006/relationships/hyperlink" Target="http://www.maxfrioatacado.com/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l21engenharia.com.br/" TargetMode="External"/><Relationship Id="rId4" Type="http://schemas.openxmlformats.org/officeDocument/2006/relationships/hyperlink" Target="mailto:refrisat@refrisat.com.br" TargetMode="External"/><Relationship Id="rId9" Type="http://schemas.openxmlformats.org/officeDocument/2006/relationships/hyperlink" Target="mailto:l21@l21engenharia.com.br" TargetMode="External"/><Relationship Id="rId1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0ADC-FC8A-4223-838A-971206733B5D}">
  <sheetPr codeName="Planilha1"/>
  <dimension ref="A1:I12"/>
  <sheetViews>
    <sheetView topLeftCell="E1" workbookViewId="0">
      <pane ySplit="1" topLeftCell="A6" activePane="bottomLeft" state="frozen"/>
      <selection pane="bottomLeft" activeCell="I12" sqref="I12"/>
    </sheetView>
  </sheetViews>
  <sheetFormatPr defaultRowHeight="14.5" x14ac:dyDescent="0.35"/>
  <cols>
    <col min="3" max="3" width="47.54296875" customWidth="1"/>
    <col min="4" max="4" width="33.54296875" customWidth="1"/>
    <col min="5" max="5" width="21.1796875" customWidth="1"/>
    <col min="7" max="7" width="53.453125" customWidth="1"/>
    <col min="9" max="9" width="42.54296875" customWidth="1"/>
  </cols>
  <sheetData>
    <row r="1" spans="1:9" x14ac:dyDescent="0.35">
      <c r="A1" s="1" t="s">
        <v>0</v>
      </c>
      <c r="B1" s="1"/>
      <c r="C1" s="1" t="s">
        <v>39</v>
      </c>
      <c r="D1" s="1" t="s">
        <v>38</v>
      </c>
      <c r="E1" s="1" t="s">
        <v>36</v>
      </c>
      <c r="F1" s="1" t="s">
        <v>1</v>
      </c>
      <c r="G1" s="1" t="s">
        <v>37</v>
      </c>
      <c r="H1" s="1"/>
      <c r="I1" s="1"/>
    </row>
    <row r="2" spans="1:9" ht="43.5" x14ac:dyDescent="0.35">
      <c r="A2" s="2" t="s">
        <v>2</v>
      </c>
      <c r="B2" s="2"/>
      <c r="C2" s="2" t="s">
        <v>3</v>
      </c>
      <c r="D2" s="3" t="s">
        <v>4</v>
      </c>
      <c r="E2" s="4" t="s">
        <v>5</v>
      </c>
      <c r="F2" s="5">
        <v>45425</v>
      </c>
      <c r="G2" s="4" t="s">
        <v>6</v>
      </c>
      <c r="H2" s="5">
        <v>45439</v>
      </c>
      <c r="I2" s="4" t="s">
        <v>41</v>
      </c>
    </row>
    <row r="3" spans="1:9" ht="58" x14ac:dyDescent="0.35">
      <c r="A3" s="2" t="s">
        <v>7</v>
      </c>
      <c r="B3" s="2"/>
      <c r="C3" s="6" t="s">
        <v>8</v>
      </c>
      <c r="D3" s="6" t="s">
        <v>9</v>
      </c>
      <c r="E3" s="6" t="s">
        <v>10</v>
      </c>
      <c r="F3" s="7">
        <v>45425</v>
      </c>
      <c r="G3" s="6" t="s">
        <v>11</v>
      </c>
      <c r="H3" s="7"/>
      <c r="I3" s="6"/>
    </row>
    <row r="4" spans="1:9" ht="29" x14ac:dyDescent="0.35">
      <c r="A4" s="8" t="s">
        <v>2</v>
      </c>
      <c r="B4" s="8" t="s">
        <v>49</v>
      </c>
      <c r="C4" s="8" t="s">
        <v>12</v>
      </c>
      <c r="D4" s="9" t="s">
        <v>13</v>
      </c>
      <c r="E4" s="10" t="s">
        <v>14</v>
      </c>
      <c r="F4" s="11">
        <v>45425</v>
      </c>
      <c r="G4" s="10" t="s">
        <v>15</v>
      </c>
      <c r="H4" s="11"/>
      <c r="I4" s="10"/>
    </row>
    <row r="5" spans="1:9" ht="87" x14ac:dyDescent="0.35">
      <c r="A5" s="2" t="s">
        <v>7</v>
      </c>
      <c r="B5" s="2"/>
      <c r="C5" s="6" t="s">
        <v>16</v>
      </c>
      <c r="D5" s="12" t="s">
        <v>17</v>
      </c>
      <c r="E5" s="6" t="s">
        <v>18</v>
      </c>
      <c r="F5" s="7">
        <v>45425</v>
      </c>
      <c r="G5" s="6" t="s">
        <v>19</v>
      </c>
      <c r="H5" s="7"/>
      <c r="I5" s="6"/>
    </row>
    <row r="6" spans="1:9" ht="15" thickBot="1" x14ac:dyDescent="0.4">
      <c r="A6" s="13" t="s">
        <v>2</v>
      </c>
      <c r="B6" s="13"/>
      <c r="C6" s="14" t="s">
        <v>20</v>
      </c>
      <c r="D6" s="14" t="s">
        <v>45</v>
      </c>
      <c r="E6" s="15" t="s">
        <v>21</v>
      </c>
      <c r="F6" s="16">
        <v>45426</v>
      </c>
      <c r="G6" s="13"/>
      <c r="H6" s="16">
        <v>45439</v>
      </c>
      <c r="I6" s="13" t="s">
        <v>48</v>
      </c>
    </row>
    <row r="7" spans="1:9" x14ac:dyDescent="0.35">
      <c r="A7" s="29"/>
      <c r="B7" s="27"/>
      <c r="C7" s="27" t="s">
        <v>22</v>
      </c>
      <c r="D7" s="27"/>
      <c r="E7" s="28" t="s">
        <v>23</v>
      </c>
      <c r="F7" s="27"/>
      <c r="G7" s="27"/>
      <c r="H7" s="27"/>
      <c r="I7" s="26"/>
    </row>
    <row r="8" spans="1:9" x14ac:dyDescent="0.35">
      <c r="A8" s="24"/>
      <c r="B8" s="19"/>
      <c r="C8" s="20" t="s">
        <v>24</v>
      </c>
      <c r="D8" s="21" t="s">
        <v>25</v>
      </c>
      <c r="E8" s="22" t="s">
        <v>26</v>
      </c>
      <c r="F8" s="23">
        <v>45425</v>
      </c>
      <c r="G8" s="19"/>
      <c r="H8" s="23"/>
      <c r="I8" s="25"/>
    </row>
    <row r="9" spans="1:9" ht="15" thickBot="1" x14ac:dyDescent="0.4">
      <c r="A9" s="32" t="s">
        <v>2</v>
      </c>
      <c r="B9" s="37" t="s">
        <v>49</v>
      </c>
      <c r="C9" s="33" t="s">
        <v>27</v>
      </c>
      <c r="D9" s="34" t="s">
        <v>43</v>
      </c>
      <c r="E9" s="35" t="s">
        <v>28</v>
      </c>
      <c r="F9" s="36">
        <v>45397</v>
      </c>
      <c r="G9" s="37"/>
      <c r="H9" s="36">
        <v>45439</v>
      </c>
      <c r="I9" s="38" t="s">
        <v>44</v>
      </c>
    </row>
    <row r="10" spans="1:9" x14ac:dyDescent="0.35">
      <c r="A10" s="17"/>
      <c r="B10" s="17"/>
      <c r="C10" s="17" t="s">
        <v>29</v>
      </c>
      <c r="D10" s="17"/>
      <c r="E10" s="18"/>
      <c r="F10" s="17"/>
      <c r="G10" s="17"/>
      <c r="H10" s="17"/>
      <c r="I10" s="17"/>
    </row>
    <row r="11" spans="1:9" ht="30" x14ac:dyDescent="0.45">
      <c r="A11" s="8"/>
      <c r="B11" s="8" t="s">
        <v>49</v>
      </c>
      <c r="C11" s="30" t="s">
        <v>30</v>
      </c>
      <c r="D11" s="9" t="s">
        <v>31</v>
      </c>
      <c r="E11" s="31" t="s">
        <v>32</v>
      </c>
      <c r="F11" s="11">
        <v>45427</v>
      </c>
      <c r="G11" s="8" t="s">
        <v>33</v>
      </c>
      <c r="H11" s="11">
        <v>45439</v>
      </c>
      <c r="I11" s="10" t="s">
        <v>42</v>
      </c>
    </row>
    <row r="12" spans="1:9" ht="29" x14ac:dyDescent="0.35">
      <c r="A12" s="39"/>
      <c r="B12" s="39"/>
      <c r="C12" s="12" t="s">
        <v>34</v>
      </c>
      <c r="D12" s="12" t="s">
        <v>35</v>
      </c>
      <c r="E12" s="39" t="s">
        <v>46</v>
      </c>
      <c r="F12" s="7">
        <v>45427</v>
      </c>
      <c r="G12" s="39"/>
      <c r="H12" s="7">
        <v>45439</v>
      </c>
      <c r="I12" s="6" t="s">
        <v>47</v>
      </c>
    </row>
  </sheetData>
  <autoFilter ref="A1:I12" xr:uid="{5A1B1A51-B39A-4EB9-BAD7-D2C8AB95F039}"/>
  <hyperlinks>
    <hyperlink ref="D4" r:id="rId1" display="http://climaplan.com.br/contato.php" xr:uid="{0CDB1BD4-971B-42B9-8BE8-3B5B72945E7B}"/>
    <hyperlink ref="D2" r:id="rId2" xr:uid="{F11D7286-D7E2-4B3A-B145-8522F88623C7}"/>
    <hyperlink ref="E6" r:id="rId3" display="tel:40001845" xr:uid="{47508473-45A0-4F6A-AA04-E0B44EE588DB}"/>
    <hyperlink ref="D5" r:id="rId4" xr:uid="{E9210DF3-2A0A-4EA9-A123-997962152D53}"/>
    <hyperlink ref="C8" r:id="rId5" display="http://www.maxfrioatacado.com/" xr:uid="{03B51ACC-30EA-419F-82E1-2296C8274318}"/>
    <hyperlink ref="D8" r:id="rId6" xr:uid="{90BAD59D-36E7-4C4A-B5A8-7754FD4FEE0E}"/>
    <hyperlink ref="C11" r:id="rId7" xr:uid="{9CC49C04-4668-4FFF-BB92-BEEDF17F4137}"/>
    <hyperlink ref="D11" r:id="rId8" xr:uid="{18060A60-B6C7-440E-AB1A-5B32A1DD9241}"/>
    <hyperlink ref="D12" r:id="rId9" xr:uid="{C066AB92-0A79-48F6-A2A7-455EDB3FE392}"/>
    <hyperlink ref="C12" r:id="rId10" xr:uid="{02506FF0-0D17-4A9E-AE34-5DC4BE74F12D}"/>
    <hyperlink ref="D9" r:id="rId11" xr:uid="{C3667C1E-5C55-4092-97E1-E985AF02F388}"/>
    <hyperlink ref="D6" r:id="rId12" xr:uid="{48FE6B5E-B506-4C04-9F60-11926144B732}"/>
    <hyperlink ref="C6" r:id="rId13" xr:uid="{C0167BCA-FC61-4BF4-8205-7131F5EDC00A}"/>
  </hyperlinks>
  <pageMargins left="0.511811024" right="0.511811024" top="0.78740157499999996" bottom="0.78740157499999996" header="0.31496062000000002" footer="0.31496062000000002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A7C0-0AAC-47B8-A45A-82FE74C2F0CB}">
  <sheetPr codeName="Planilha2"/>
  <dimension ref="A1:K22"/>
  <sheetViews>
    <sheetView tabSelected="1" zoomScale="90" zoomScaleNormal="90" workbookViewId="0">
      <selection activeCell="C26" sqref="C26"/>
    </sheetView>
  </sheetViews>
  <sheetFormatPr defaultColWidth="8.81640625" defaultRowHeight="13" x14ac:dyDescent="0.3"/>
  <cols>
    <col min="1" max="1" width="17.81640625" style="44" customWidth="1"/>
    <col min="2" max="2" width="17.1796875" style="44" customWidth="1"/>
    <col min="3" max="3" width="30.7265625" style="54" customWidth="1"/>
    <col min="4" max="4" width="17" style="54" customWidth="1"/>
    <col min="5" max="5" width="16.453125" style="54" customWidth="1"/>
    <col min="6" max="6" width="31" style="68" customWidth="1"/>
    <col min="7" max="7" width="15.7265625" style="43" customWidth="1"/>
    <col min="8" max="8" width="17.1796875" style="43" customWidth="1"/>
    <col min="9" max="9" width="45.26953125" style="44" customWidth="1"/>
    <col min="10" max="10" width="8.81640625" style="44"/>
    <col min="11" max="11" width="19.7265625" style="44" bestFit="1" customWidth="1"/>
    <col min="12" max="16384" width="8.81640625" style="44"/>
  </cols>
  <sheetData>
    <row r="1" spans="1:11" ht="13.5" thickBot="1" x14ac:dyDescent="0.35">
      <c r="A1" s="154" t="s">
        <v>50</v>
      </c>
      <c r="B1" s="155"/>
      <c r="C1" s="40"/>
      <c r="D1" s="40"/>
      <c r="E1" s="40"/>
      <c r="F1" s="40"/>
      <c r="G1" s="40"/>
      <c r="H1" s="41"/>
      <c r="I1" s="42" t="s">
        <v>51</v>
      </c>
      <c r="J1" s="43">
        <f>COUNTIF(B:B,I1)</f>
        <v>0</v>
      </c>
    </row>
    <row r="2" spans="1:11" x14ac:dyDescent="0.3">
      <c r="A2" s="156"/>
      <c r="B2" s="157"/>
      <c r="C2" s="45"/>
      <c r="D2" s="46" t="s">
        <v>52</v>
      </c>
      <c r="E2" s="45"/>
      <c r="F2" s="45"/>
      <c r="G2" s="45"/>
      <c r="H2" s="47"/>
      <c r="I2" s="48" t="s">
        <v>53</v>
      </c>
      <c r="J2" s="43">
        <f>COUNTIF(B:B,I2)</f>
        <v>0</v>
      </c>
    </row>
    <row r="3" spans="1:11" ht="13.5" thickBot="1" x14ac:dyDescent="0.35">
      <c r="A3" s="156"/>
      <c r="B3" s="157"/>
      <c r="C3" s="45"/>
      <c r="D3" s="49">
        <f t="array" ref="D3">MAX(E7:E16-D7:D16)</f>
        <v>0</v>
      </c>
      <c r="E3" s="45"/>
      <c r="F3" s="45"/>
      <c r="G3" s="45"/>
      <c r="H3" s="47"/>
      <c r="I3" s="50" t="s">
        <v>54</v>
      </c>
      <c r="J3" s="43">
        <f>COUNTIF(B:B,I3)</f>
        <v>0</v>
      </c>
    </row>
    <row r="4" spans="1:11" x14ac:dyDescent="0.3">
      <c r="A4" s="156"/>
      <c r="B4" s="157"/>
      <c r="C4" s="45" t="s">
        <v>55</v>
      </c>
      <c r="D4" s="51">
        <f ca="1">TODAY()</f>
        <v>45895</v>
      </c>
      <c r="E4" s="45" t="s">
        <v>56</v>
      </c>
      <c r="F4" s="45"/>
      <c r="G4" s="45"/>
      <c r="H4" s="47"/>
      <c r="I4" s="52" t="s">
        <v>57</v>
      </c>
      <c r="J4" s="43">
        <f>COUNTIF(B:B,I4)</f>
        <v>0</v>
      </c>
    </row>
    <row r="5" spans="1:11" ht="13.5" thickBot="1" x14ac:dyDescent="0.35">
      <c r="A5" s="158"/>
      <c r="B5" s="159"/>
      <c r="C5" s="53"/>
      <c r="E5" s="53"/>
      <c r="F5" s="53"/>
      <c r="G5" s="53"/>
      <c r="H5" s="55"/>
      <c r="I5" s="56" t="s">
        <v>58</v>
      </c>
      <c r="K5" s="43"/>
    </row>
    <row r="6" spans="1:11" ht="26.5" thickBot="1" x14ac:dyDescent="0.35">
      <c r="A6" s="57" t="s">
        <v>59</v>
      </c>
      <c r="B6" s="58" t="s">
        <v>60</v>
      </c>
      <c r="C6" s="58" t="s">
        <v>61</v>
      </c>
      <c r="D6" s="58" t="s">
        <v>62</v>
      </c>
      <c r="E6" s="59" t="s">
        <v>63</v>
      </c>
      <c r="F6" s="59" t="s">
        <v>64</v>
      </c>
      <c r="G6" s="59" t="s">
        <v>65</v>
      </c>
      <c r="H6" s="59" t="s">
        <v>66</v>
      </c>
      <c r="I6" s="60" t="s">
        <v>67</v>
      </c>
      <c r="J6" s="60" t="s">
        <v>68</v>
      </c>
    </row>
    <row r="7" spans="1:11" ht="14.5" x14ac:dyDescent="0.35">
      <c r="A7" s="61"/>
      <c r="B7" s="69"/>
      <c r="C7" s="69"/>
      <c r="D7" s="66"/>
      <c r="E7" s="61"/>
      <c r="F7" s="134"/>
      <c r="G7" s="116"/>
      <c r="H7" s="63"/>
      <c r="I7" s="64"/>
      <c r="J7" s="61"/>
    </row>
    <row r="8" spans="1:11" ht="14.5" x14ac:dyDescent="0.3">
      <c r="A8" s="61"/>
      <c r="B8" s="69"/>
      <c r="C8" s="69"/>
      <c r="D8" s="66"/>
      <c r="E8" s="62"/>
      <c r="F8" s="65"/>
      <c r="G8" s="61"/>
      <c r="H8" s="63"/>
      <c r="I8" s="64"/>
      <c r="J8" s="61"/>
    </row>
    <row r="9" spans="1:11" ht="14.5" x14ac:dyDescent="0.3">
      <c r="A9" s="61"/>
      <c r="B9" s="69"/>
      <c r="C9" s="69"/>
      <c r="D9" s="66"/>
      <c r="E9" s="62"/>
      <c r="F9" s="67"/>
      <c r="G9" s="61"/>
      <c r="H9" s="61"/>
      <c r="I9" s="64"/>
      <c r="J9" s="61"/>
    </row>
    <row r="10" spans="1:11" ht="14.5" x14ac:dyDescent="0.3">
      <c r="A10" s="61"/>
      <c r="B10" s="69"/>
      <c r="C10" s="69"/>
      <c r="D10" s="66"/>
      <c r="E10" s="62"/>
      <c r="F10" s="65"/>
      <c r="G10" s="61"/>
      <c r="H10" s="63"/>
      <c r="I10" s="64"/>
      <c r="J10" s="61"/>
    </row>
    <row r="11" spans="1:11" ht="14.5" x14ac:dyDescent="0.35">
      <c r="A11" s="61"/>
      <c r="B11" s="69"/>
      <c r="C11" s="69"/>
      <c r="D11" s="66"/>
      <c r="E11" s="61"/>
      <c r="F11" s="134"/>
      <c r="G11" s="116"/>
      <c r="H11" s="63"/>
      <c r="I11" s="64"/>
      <c r="J11" s="61"/>
    </row>
    <row r="12" spans="1:11" ht="14.5" x14ac:dyDescent="0.3">
      <c r="A12" s="61"/>
      <c r="B12" s="69"/>
      <c r="C12" s="69"/>
      <c r="D12" s="66"/>
      <c r="E12" s="62"/>
      <c r="F12" s="65"/>
      <c r="G12" s="61"/>
      <c r="H12" s="63"/>
      <c r="I12" s="64"/>
      <c r="J12" s="61"/>
    </row>
    <row r="13" spans="1:11" ht="14.5" x14ac:dyDescent="0.3">
      <c r="A13" s="61"/>
      <c r="B13" s="69"/>
      <c r="C13" s="69"/>
      <c r="D13" s="66"/>
      <c r="E13" s="62"/>
      <c r="F13" s="67"/>
      <c r="G13" s="61"/>
      <c r="H13" s="61"/>
      <c r="I13" s="64"/>
      <c r="J13" s="61"/>
    </row>
    <row r="14" spans="1:11" ht="14.5" x14ac:dyDescent="0.3">
      <c r="A14" s="61"/>
      <c r="B14" s="69"/>
      <c r="C14" s="69"/>
      <c r="D14" s="66"/>
      <c r="E14" s="62"/>
      <c r="F14" s="65"/>
      <c r="G14" s="61"/>
      <c r="H14" s="63"/>
      <c r="I14" s="64"/>
      <c r="J14" s="61"/>
    </row>
    <row r="15" spans="1:11" ht="14.5" x14ac:dyDescent="0.35">
      <c r="A15" s="61"/>
      <c r="B15" s="69"/>
      <c r="C15" s="69"/>
      <c r="D15" s="66"/>
      <c r="E15" s="61"/>
      <c r="F15" s="134"/>
      <c r="G15" s="116"/>
      <c r="H15" s="63"/>
      <c r="I15" s="64"/>
      <c r="J15" s="61"/>
    </row>
    <row r="16" spans="1:11" ht="14.5" x14ac:dyDescent="0.3">
      <c r="A16" s="61"/>
      <c r="B16" s="69"/>
      <c r="C16" s="69"/>
      <c r="D16" s="66"/>
      <c r="E16" s="62"/>
      <c r="F16" s="65"/>
      <c r="G16" s="61"/>
      <c r="H16" s="63"/>
      <c r="I16" s="64"/>
      <c r="J16" s="61"/>
    </row>
    <row r="17" spans="1:10" ht="14.5" x14ac:dyDescent="0.3">
      <c r="A17" s="61"/>
      <c r="B17" s="69"/>
      <c r="C17" s="69"/>
      <c r="D17" s="66"/>
      <c r="E17" s="62"/>
      <c r="F17" s="67"/>
      <c r="G17" s="61"/>
      <c r="H17" s="61"/>
      <c r="I17" s="64"/>
      <c r="J17" s="61"/>
    </row>
    <row r="18" spans="1:10" ht="14.5" x14ac:dyDescent="0.3">
      <c r="A18" s="61"/>
      <c r="B18" s="69"/>
      <c r="C18" s="69"/>
      <c r="D18" s="66"/>
      <c r="E18" s="62"/>
      <c r="F18" s="65"/>
      <c r="G18" s="61"/>
      <c r="H18" s="63"/>
      <c r="I18" s="64"/>
      <c r="J18" s="61"/>
    </row>
    <row r="19" spans="1:10" ht="14.5" x14ac:dyDescent="0.35">
      <c r="A19" s="61"/>
      <c r="B19" s="69"/>
      <c r="C19" s="69"/>
      <c r="D19" s="66"/>
      <c r="E19" s="61"/>
      <c r="F19" s="134"/>
      <c r="G19" s="116"/>
      <c r="H19" s="63"/>
      <c r="I19" s="64"/>
      <c r="J19" s="61"/>
    </row>
    <row r="20" spans="1:10" ht="14.5" x14ac:dyDescent="0.3">
      <c r="A20" s="61"/>
      <c r="B20" s="69"/>
      <c r="C20" s="69"/>
      <c r="D20" s="66"/>
      <c r="E20" s="62"/>
      <c r="F20" s="65"/>
      <c r="G20" s="61"/>
      <c r="H20" s="63"/>
      <c r="I20" s="64"/>
      <c r="J20" s="61"/>
    </row>
    <row r="21" spans="1:10" ht="14.5" x14ac:dyDescent="0.3">
      <c r="A21" s="61"/>
      <c r="B21" s="69"/>
      <c r="C21" s="69"/>
      <c r="D21" s="66"/>
      <c r="E21" s="62"/>
      <c r="F21" s="67"/>
      <c r="G21" s="61"/>
      <c r="H21" s="61"/>
      <c r="I21" s="64"/>
      <c r="J21" s="61"/>
    </row>
    <row r="22" spans="1:10" ht="14.5" x14ac:dyDescent="0.3">
      <c r="A22" s="61"/>
      <c r="B22" s="69"/>
      <c r="C22" s="69"/>
      <c r="D22" s="66"/>
      <c r="E22" s="62"/>
      <c r="F22" s="65"/>
      <c r="G22" s="61"/>
      <c r="H22" s="63"/>
      <c r="I22" s="64"/>
      <c r="J22" s="61"/>
    </row>
  </sheetData>
  <mergeCells count="2">
    <mergeCell ref="A1:B1"/>
    <mergeCell ref="A2:B5"/>
  </mergeCells>
  <conditionalFormatting sqref="A7:B22 C21:J22">
    <cfRule type="expression" dxfId="79" priority="31">
      <formula>$I$5=$B7</formula>
    </cfRule>
    <cfRule type="expression" dxfId="78" priority="32">
      <formula>$I$4=$B7</formula>
    </cfRule>
    <cfRule type="expression" dxfId="77" priority="33">
      <formula>$I$3=$B7</formula>
    </cfRule>
    <cfRule type="expression" dxfId="76" priority="34">
      <formula>$I$2=$B7</formula>
    </cfRule>
    <cfRule type="expression" dxfId="75" priority="35">
      <formula>$I$1=$B7</formula>
    </cfRule>
  </conditionalFormatting>
  <conditionalFormatting sqref="C7">
    <cfRule type="expression" dxfId="74" priority="125">
      <formula>$I$1=$B7</formula>
    </cfRule>
    <cfRule type="expression" dxfId="73" priority="124">
      <formula>$I$2=$B7</formula>
    </cfRule>
    <cfRule type="expression" dxfId="72" priority="123">
      <formula>$I$3=$B7</formula>
    </cfRule>
    <cfRule type="expression" dxfId="71" priority="122">
      <formula>$I$4=$B7</formula>
    </cfRule>
    <cfRule type="expression" dxfId="70" priority="121">
      <formula>$I$5=$B7</formula>
    </cfRule>
  </conditionalFormatting>
  <conditionalFormatting sqref="C8">
    <cfRule type="expression" dxfId="69" priority="240">
      <formula>$I$1=#REF!</formula>
    </cfRule>
    <cfRule type="expression" dxfId="68" priority="239">
      <formula>$I$2=#REF!</formula>
    </cfRule>
    <cfRule type="expression" dxfId="67" priority="238">
      <formula>$I$3=#REF!</formula>
    </cfRule>
    <cfRule type="expression" dxfId="66" priority="237">
      <formula>$I$4=#REF!</formula>
    </cfRule>
    <cfRule type="expression" dxfId="65" priority="236">
      <formula>$I$5=#REF!</formula>
    </cfRule>
  </conditionalFormatting>
  <conditionalFormatting sqref="C11">
    <cfRule type="expression" dxfId="64" priority="81">
      <formula>$I$5=$B11</formula>
    </cfRule>
    <cfRule type="expression" dxfId="63" priority="85">
      <formula>$I$1=$B11</formula>
    </cfRule>
    <cfRule type="expression" dxfId="62" priority="84">
      <formula>$I$2=$B11</formula>
    </cfRule>
    <cfRule type="expression" dxfId="61" priority="83">
      <formula>$I$3=$B11</formula>
    </cfRule>
    <cfRule type="expression" dxfId="60" priority="82">
      <formula>$I$4=$B11</formula>
    </cfRule>
  </conditionalFormatting>
  <conditionalFormatting sqref="C12">
    <cfRule type="expression" dxfId="59" priority="119">
      <formula>$I$2=#REF!</formula>
    </cfRule>
    <cfRule type="expression" dxfId="58" priority="118">
      <formula>$I$3=#REF!</formula>
    </cfRule>
    <cfRule type="expression" dxfId="57" priority="120">
      <formula>$I$1=#REF!</formula>
    </cfRule>
    <cfRule type="expression" dxfId="56" priority="117">
      <formula>$I$4=#REF!</formula>
    </cfRule>
    <cfRule type="expression" dxfId="55" priority="116">
      <formula>$I$5=#REF!</formula>
    </cfRule>
  </conditionalFormatting>
  <conditionalFormatting sqref="C15">
    <cfRule type="expression" dxfId="54" priority="41">
      <formula>$I$5=$B15</formula>
    </cfRule>
    <cfRule type="expression" dxfId="53" priority="42">
      <formula>$I$4=$B15</formula>
    </cfRule>
    <cfRule type="expression" dxfId="52" priority="43">
      <formula>$I$3=$B15</formula>
    </cfRule>
    <cfRule type="expression" dxfId="51" priority="44">
      <formula>$I$2=$B15</formula>
    </cfRule>
    <cfRule type="expression" dxfId="50" priority="45">
      <formula>$I$1=$B15</formula>
    </cfRule>
  </conditionalFormatting>
  <conditionalFormatting sqref="C16">
    <cfRule type="expression" dxfId="49" priority="79">
      <formula>$I$2=#REF!</formula>
    </cfRule>
    <cfRule type="expression" dxfId="48" priority="80">
      <formula>$I$1=#REF!</formula>
    </cfRule>
    <cfRule type="expression" dxfId="47" priority="78">
      <formula>$I$3=#REF!</formula>
    </cfRule>
    <cfRule type="expression" dxfId="46" priority="77">
      <formula>$I$4=#REF!</formula>
    </cfRule>
    <cfRule type="expression" dxfId="45" priority="76">
      <formula>$I$5=#REF!</formula>
    </cfRule>
  </conditionalFormatting>
  <conditionalFormatting sqref="C19">
    <cfRule type="expression" dxfId="44" priority="3">
      <formula>$I$3=$B19</formula>
    </cfRule>
    <cfRule type="expression" dxfId="43" priority="4">
      <formula>$I$2=$B19</formula>
    </cfRule>
    <cfRule type="expression" dxfId="42" priority="5">
      <formula>$I$1=$B19</formula>
    </cfRule>
    <cfRule type="expression" dxfId="41" priority="2">
      <formula>$I$4=$B19</formula>
    </cfRule>
    <cfRule type="expression" dxfId="40" priority="1">
      <formula>$I$5=$B19</formula>
    </cfRule>
  </conditionalFormatting>
  <conditionalFormatting sqref="C20">
    <cfRule type="expression" dxfId="39" priority="36">
      <formula>$I$5=#REF!</formula>
    </cfRule>
    <cfRule type="expression" dxfId="38" priority="37">
      <formula>$I$4=#REF!</formula>
    </cfRule>
    <cfRule type="expression" dxfId="37" priority="40">
      <formula>$I$1=#REF!</formula>
    </cfRule>
    <cfRule type="expression" dxfId="36" priority="39">
      <formula>$I$2=#REF!</formula>
    </cfRule>
    <cfRule type="expression" dxfId="35" priority="38">
      <formula>$I$3=#REF!</formula>
    </cfRule>
  </conditionalFormatting>
  <conditionalFormatting sqref="C9:J10">
    <cfRule type="expression" dxfId="34" priority="233">
      <formula>$I$3=$B9</formula>
    </cfRule>
    <cfRule type="expression" dxfId="33" priority="232">
      <formula>$I$4=$B9</formula>
    </cfRule>
    <cfRule type="expression" dxfId="32" priority="231">
      <formula>$I$5=$B9</formula>
    </cfRule>
    <cfRule type="expression" dxfId="31" priority="234">
      <formula>$I$2=$B9</formula>
    </cfRule>
    <cfRule type="expression" dxfId="30" priority="235">
      <formula>$I$1=$B9</formula>
    </cfRule>
  </conditionalFormatting>
  <conditionalFormatting sqref="C13:J14">
    <cfRule type="expression" dxfId="29" priority="111">
      <formula>$I$5=$B13</formula>
    </cfRule>
    <cfRule type="expression" dxfId="28" priority="112">
      <formula>$I$4=$B13</formula>
    </cfRule>
    <cfRule type="expression" dxfId="27" priority="113">
      <formula>$I$3=$B13</formula>
    </cfRule>
    <cfRule type="expression" dxfId="26" priority="114">
      <formula>$I$2=$B13</formula>
    </cfRule>
    <cfRule type="expression" dxfId="25" priority="115">
      <formula>$I$1=$B13</formula>
    </cfRule>
  </conditionalFormatting>
  <conditionalFormatting sqref="C17:J18">
    <cfRule type="expression" dxfId="24" priority="72">
      <formula>$I$4=$B17</formula>
    </cfRule>
    <cfRule type="expression" dxfId="23" priority="73">
      <formula>$I$3=$B17</formula>
    </cfRule>
    <cfRule type="expression" dxfId="22" priority="74">
      <formula>$I$2=$B17</formula>
    </cfRule>
    <cfRule type="expression" dxfId="21" priority="75">
      <formula>$I$1=$B17</formula>
    </cfRule>
    <cfRule type="expression" dxfId="20" priority="71">
      <formula>$I$5=$B17</formula>
    </cfRule>
  </conditionalFormatting>
  <conditionalFormatting sqref="D7:J8">
    <cfRule type="expression" dxfId="19" priority="126">
      <formula>$I$5=$B7</formula>
    </cfRule>
    <cfRule type="expression" dxfId="18" priority="127">
      <formula>$I$4=$B7</formula>
    </cfRule>
    <cfRule type="expression" dxfId="17" priority="129">
      <formula>$I$2=$B7</formula>
    </cfRule>
    <cfRule type="expression" dxfId="16" priority="128">
      <formula>$I$3=$B7</formula>
    </cfRule>
    <cfRule type="expression" dxfId="15" priority="130">
      <formula>$I$1=$B7</formula>
    </cfRule>
  </conditionalFormatting>
  <conditionalFormatting sqref="D11:J12">
    <cfRule type="expression" dxfId="14" priority="89">
      <formula>$I$2=$B11</formula>
    </cfRule>
    <cfRule type="expression" dxfId="13" priority="88">
      <formula>$I$3=$B11</formula>
    </cfRule>
    <cfRule type="expression" dxfId="12" priority="87">
      <formula>$I$4=$B11</formula>
    </cfRule>
    <cfRule type="expression" dxfId="11" priority="90">
      <formula>$I$1=$B11</formula>
    </cfRule>
    <cfRule type="expression" dxfId="10" priority="86">
      <formula>$I$5=$B11</formula>
    </cfRule>
  </conditionalFormatting>
  <conditionalFormatting sqref="D15:J16">
    <cfRule type="expression" dxfId="9" priority="50">
      <formula>$I$1=$B15</formula>
    </cfRule>
    <cfRule type="expression" dxfId="8" priority="49">
      <formula>$I$2=$B15</formula>
    </cfRule>
    <cfRule type="expression" dxfId="7" priority="48">
      <formula>$I$3=$B15</formula>
    </cfRule>
    <cfRule type="expression" dxfId="6" priority="47">
      <formula>$I$4=$B15</formula>
    </cfRule>
    <cfRule type="expression" dxfId="5" priority="46">
      <formula>$I$5=$B15</formula>
    </cfRule>
  </conditionalFormatting>
  <conditionalFormatting sqref="D19:J20">
    <cfRule type="expression" dxfId="4" priority="8">
      <formula>$I$3=$B19</formula>
    </cfRule>
    <cfRule type="expression" dxfId="3" priority="10">
      <formula>$I$1=$B19</formula>
    </cfRule>
    <cfRule type="expression" dxfId="2" priority="9">
      <formula>$I$2=$B19</formula>
    </cfRule>
    <cfRule type="expression" dxfId="1" priority="7">
      <formula>$I$4=$B19</formula>
    </cfRule>
    <cfRule type="expression" dxfId="0" priority="6">
      <formula>$I$5=$B19</formula>
    </cfRule>
  </conditionalFormatting>
  <dataValidations count="2">
    <dataValidation type="list" allowBlank="1" showInputMessage="1" showErrorMessage="1" sqref="A7:A22" xr:uid="{8F5832F4-BBB6-4FD4-A788-8F9601137C3D}">
      <formula1>"Indicado pela área,Busca TEV"</formula1>
    </dataValidation>
    <dataValidation type="list" allowBlank="1" showInputMessage="1" showErrorMessage="1" sqref="B7:B22" xr:uid="{3D333C9D-240C-4456-8D64-02D59D00371F}">
      <formula1>$I$1:$I$5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F7B2-CC95-4EBF-9B40-3853089D5A9B}">
  <sheetPr codeName="Planilha3"/>
  <dimension ref="A1:U126"/>
  <sheetViews>
    <sheetView zoomScale="90" zoomScaleNormal="90" workbookViewId="0">
      <selection activeCell="B3" sqref="B3"/>
    </sheetView>
  </sheetViews>
  <sheetFormatPr defaultColWidth="9.1796875" defaultRowHeight="13" x14ac:dyDescent="0.3"/>
  <cols>
    <col min="1" max="1" width="7.81640625" style="110" customWidth="1"/>
    <col min="2" max="2" width="46" style="111" customWidth="1"/>
    <col min="3" max="3" width="11.7265625" style="112" bestFit="1" customWidth="1"/>
    <col min="4" max="4" width="17" style="113" customWidth="1"/>
    <col min="5" max="5" width="17.1796875" style="115" customWidth="1"/>
    <col min="6" max="6" width="15.26953125" style="115" bestFit="1" customWidth="1"/>
    <col min="7" max="7" width="16.26953125" style="113" customWidth="1"/>
    <col min="8" max="8" width="20.1796875" style="113" bestFit="1" customWidth="1"/>
    <col min="9" max="9" width="15.7265625" style="113" bestFit="1" customWidth="1"/>
    <col min="10" max="10" width="17.54296875" style="113" customWidth="1"/>
    <col min="11" max="11" width="11.453125" style="113" customWidth="1"/>
    <col min="12" max="12" width="11.54296875" style="44" customWidth="1"/>
    <col min="13" max="13" width="13.26953125" style="44" bestFit="1" customWidth="1"/>
    <col min="14" max="14" width="11.54296875" style="44" customWidth="1"/>
    <col min="15" max="15" width="16.7265625" style="44" customWidth="1"/>
    <col min="16" max="16" width="14" style="44" bestFit="1" customWidth="1"/>
    <col min="17" max="17" width="13.26953125" style="141" bestFit="1" customWidth="1"/>
    <col min="18" max="18" width="12.7265625" style="110" customWidth="1"/>
    <col min="19" max="20" width="9.1796875" style="44"/>
    <col min="21" max="21" width="14.54296875" style="44" customWidth="1"/>
    <col min="22" max="16384" width="9.1796875" style="44"/>
  </cols>
  <sheetData>
    <row r="1" spans="1:21" x14ac:dyDescent="0.3">
      <c r="B1" s="137" t="s">
        <v>114</v>
      </c>
    </row>
    <row r="2" spans="1:21" x14ac:dyDescent="0.3">
      <c r="B2" s="140" t="s">
        <v>121</v>
      </c>
    </row>
    <row r="3" spans="1:21" x14ac:dyDescent="0.3">
      <c r="A3" s="71"/>
      <c r="B3" s="88"/>
      <c r="C3" s="88"/>
      <c r="D3" s="88"/>
      <c r="E3" s="89"/>
      <c r="F3" s="160" t="s">
        <v>78</v>
      </c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42"/>
      <c r="R3" s="71"/>
    </row>
    <row r="4" spans="1:21" ht="52" x14ac:dyDescent="0.3">
      <c r="A4" s="90" t="s">
        <v>78</v>
      </c>
      <c r="B4" s="90" t="s">
        <v>79</v>
      </c>
      <c r="C4" s="90" t="s">
        <v>80</v>
      </c>
      <c r="D4" s="91" t="s">
        <v>81</v>
      </c>
      <c r="E4" s="90" t="s">
        <v>82</v>
      </c>
      <c r="F4" s="92" t="s">
        <v>83</v>
      </c>
      <c r="G4" s="93" t="s">
        <v>84</v>
      </c>
      <c r="H4" s="94" t="s">
        <v>85</v>
      </c>
      <c r="I4" s="93" t="s">
        <v>86</v>
      </c>
      <c r="J4" s="93" t="s">
        <v>87</v>
      </c>
      <c r="K4" s="136" t="s">
        <v>106</v>
      </c>
      <c r="L4" s="136" t="s">
        <v>107</v>
      </c>
      <c r="M4" s="136" t="s">
        <v>108</v>
      </c>
      <c r="N4" s="136" t="s">
        <v>109</v>
      </c>
      <c r="O4" s="136" t="s">
        <v>110</v>
      </c>
      <c r="P4" s="136" t="s">
        <v>111</v>
      </c>
      <c r="Q4" s="143" t="s">
        <v>115</v>
      </c>
      <c r="R4" s="91" t="s">
        <v>116</v>
      </c>
      <c r="S4" s="91" t="s">
        <v>117</v>
      </c>
      <c r="T4" s="91" t="s">
        <v>88</v>
      </c>
      <c r="U4" s="95" t="s">
        <v>89</v>
      </c>
    </row>
    <row r="5" spans="1:21" x14ac:dyDescent="0.3">
      <c r="A5" s="96"/>
      <c r="B5" s="97"/>
      <c r="C5" s="98"/>
      <c r="D5" s="98"/>
      <c r="E5" s="98"/>
      <c r="F5" s="99"/>
      <c r="G5" s="99"/>
      <c r="H5" s="99"/>
      <c r="I5" s="99"/>
      <c r="J5" s="99"/>
      <c r="K5" s="98"/>
      <c r="L5" s="98"/>
      <c r="M5" s="98"/>
      <c r="N5" s="98"/>
      <c r="O5" s="98"/>
      <c r="P5" s="98"/>
      <c r="Q5" s="144"/>
      <c r="R5" s="96"/>
      <c r="S5" s="100"/>
      <c r="T5" s="100"/>
      <c r="U5" s="101"/>
    </row>
    <row r="6" spans="1:21" x14ac:dyDescent="0.3">
      <c r="A6" s="102"/>
      <c r="B6" s="103"/>
      <c r="C6" s="104"/>
      <c r="D6" s="104" t="str">
        <f>_xlfn.IFS(AND(Q6&gt;6,Q6&lt;=36),E6*T6/S6,Q6&lt;=6,E6,Q6=" "," ",Q6&gt;36,"ERRO")</f>
        <v xml:space="preserve"> </v>
      </c>
      <c r="E6" s="104" t="e">
        <f>IF(COUNT(K6:P6)&lt;2,I6,G6)</f>
        <v>#DIV/0!</v>
      </c>
      <c r="F6" s="105" t="e">
        <f>IF(COUNT(K6:P6)&lt;3*AND(E6=I6),$I$4,IF(E6=G6,$G$4,IF(E6=H6,$H$4,IF(E6=J6,$J$4,"Outro"))))</f>
        <v>#DIV/0!</v>
      </c>
      <c r="G6" s="106" t="e">
        <f>AVERAGEIFS(K6:P6,K6:P6,"&lt;="&amp;(AVERAGE(K6:P6)+_xlfn.STDEV.S(K6:P6)),K6:P6,"&gt;="&amp;(AVERAGE(K6:P6)-_xlfn.STDEV.S(K6:P6)))</f>
        <v>#DIV/0!</v>
      </c>
      <c r="H6" s="106" t="e">
        <f>SMALL(K6:P6,1)</f>
        <v>#NUM!</v>
      </c>
      <c r="I6" s="106" t="e">
        <f>AVERAGE(K6:P6)</f>
        <v>#DIV/0!</v>
      </c>
      <c r="J6" s="106" t="e">
        <f>MEDIAN(K6:P6)</f>
        <v>#NUM!</v>
      </c>
      <c r="K6" s="104"/>
      <c r="L6" s="104"/>
      <c r="M6" s="104"/>
      <c r="N6" s="107"/>
      <c r="O6" s="107"/>
      <c r="P6" s="107"/>
      <c r="Q6" s="145" t="str">
        <f>IF(ISBLANK(A6)," ",ROUND(($B$2-A6)/30.44,0))</f>
        <v xml:space="preserve"> </v>
      </c>
      <c r="R6" s="102" t="e">
        <f>EDATE(A6,-1)</f>
        <v>#NUM!</v>
      </c>
      <c r="S6" s="108" t="e">
        <f>VLOOKUP(R6,IPCA!$D:$E,2,FALSE)</f>
        <v>#NUM!</v>
      </c>
      <c r="T6" s="108">
        <f>VLOOKUP($B$2,IPCA!$C:$E,3,FALSE)</f>
        <v>7331.98</v>
      </c>
      <c r="U6" s="109"/>
    </row>
    <row r="7" spans="1:21" x14ac:dyDescent="0.3">
      <c r="A7" s="96"/>
      <c r="B7" s="97"/>
      <c r="C7" s="98"/>
      <c r="D7" s="98"/>
      <c r="E7" s="98"/>
      <c r="F7" s="99"/>
      <c r="G7" s="99"/>
      <c r="H7" s="99"/>
      <c r="I7" s="99"/>
      <c r="J7" s="99"/>
      <c r="K7" s="98"/>
      <c r="L7" s="98"/>
      <c r="M7" s="98"/>
      <c r="N7" s="98"/>
      <c r="O7" s="98"/>
      <c r="P7" s="98"/>
      <c r="Q7" s="144"/>
      <c r="R7" s="96"/>
      <c r="S7" s="100"/>
      <c r="T7" s="100"/>
      <c r="U7" s="101"/>
    </row>
    <row r="8" spans="1:21" x14ac:dyDescent="0.3">
      <c r="A8" s="102"/>
      <c r="B8" s="103"/>
      <c r="C8" s="104"/>
      <c r="D8" s="104" t="str">
        <f t="shared" ref="D8" si="0">_xlfn.IFS(AND(Q8&gt;6,Q8&lt;=36),E8*T8/S8,Q8&lt;=6,E8,Q8=" "," ",Q8&gt;36,"ERRO")</f>
        <v xml:space="preserve"> </v>
      </c>
      <c r="E8" s="104" t="e">
        <f t="shared" ref="E8" si="1">IF(COUNT(K8:P8)&lt;2,I8,G8)</f>
        <v>#DIV/0!</v>
      </c>
      <c r="F8" s="105" t="e">
        <f t="shared" ref="F8" si="2">IF(COUNT(K8:P8)&lt;3*AND(E8=I8),$I$4,IF(E8=G8,$G$4,IF(E8=H8,$H$4,IF(E8=J8,$J$4,"Outro"))))</f>
        <v>#DIV/0!</v>
      </c>
      <c r="G8" s="106" t="e">
        <f t="shared" ref="G8" si="3">AVERAGEIFS(K8:P8,K8:P8,"&lt;="&amp;(AVERAGE(K8:P8)+_xlfn.STDEV.S(K8:P8)),K8:P8,"&gt;="&amp;(AVERAGE(K8:P8)-_xlfn.STDEV.S(K8:P8)))</f>
        <v>#DIV/0!</v>
      </c>
      <c r="H8" s="106" t="e">
        <f t="shared" ref="H8" si="4">SMALL(K8:P8,1)</f>
        <v>#NUM!</v>
      </c>
      <c r="I8" s="106" t="e">
        <f t="shared" ref="I8" si="5">AVERAGE(K8:P8)</f>
        <v>#DIV/0!</v>
      </c>
      <c r="J8" s="106" t="e">
        <f t="shared" ref="J8" si="6">MEDIAN(K8:P8)</f>
        <v>#NUM!</v>
      </c>
      <c r="K8" s="104"/>
      <c r="L8" s="104"/>
      <c r="M8" s="104"/>
      <c r="N8" s="107"/>
      <c r="O8" s="107"/>
      <c r="P8" s="107"/>
      <c r="Q8" s="145" t="str">
        <f t="shared" ref="Q8" si="7">IF(ISBLANK(A8)," ",ROUND(($B$2-A8)/30.44,0))</f>
        <v xml:space="preserve"> </v>
      </c>
      <c r="R8" s="102" t="e">
        <f t="shared" ref="R8" si="8">EDATE(A8,-1)</f>
        <v>#NUM!</v>
      </c>
      <c r="S8" s="108" t="e">
        <f>VLOOKUP(R8,IPCA!$D:$E,2,FALSE)</f>
        <v>#NUM!</v>
      </c>
      <c r="T8" s="108">
        <f>VLOOKUP($B$2,IPCA!$C:$E,3,FALSE)</f>
        <v>7331.98</v>
      </c>
      <c r="U8" s="109"/>
    </row>
    <row r="9" spans="1:21" x14ac:dyDescent="0.3">
      <c r="A9" s="96"/>
      <c r="B9" s="97"/>
      <c r="C9" s="98"/>
      <c r="D9" s="98"/>
      <c r="E9" s="98"/>
      <c r="F9" s="99"/>
      <c r="G9" s="99"/>
      <c r="H9" s="99"/>
      <c r="I9" s="99"/>
      <c r="J9" s="99"/>
      <c r="K9" s="98"/>
      <c r="L9" s="98"/>
      <c r="M9" s="98"/>
      <c r="N9" s="98"/>
      <c r="O9" s="98"/>
      <c r="P9" s="98"/>
      <c r="Q9" s="144"/>
      <c r="R9" s="96"/>
      <c r="S9" s="100"/>
      <c r="T9" s="100"/>
      <c r="U9" s="101"/>
    </row>
    <row r="10" spans="1:21" x14ac:dyDescent="0.3">
      <c r="A10" s="102"/>
      <c r="B10" s="103"/>
      <c r="C10" s="104"/>
      <c r="D10" s="104" t="str">
        <f t="shared" ref="D10" si="9">_xlfn.IFS(AND(Q10&gt;6,Q10&lt;=36),E10*T10/S10,Q10&lt;=6,E10,Q10=" "," ",Q10&gt;36,"ERRO")</f>
        <v xml:space="preserve"> </v>
      </c>
      <c r="E10" s="104" t="e">
        <f t="shared" ref="E10" si="10">IF(COUNT(K10:P10)&lt;2,I10,G10)</f>
        <v>#DIV/0!</v>
      </c>
      <c r="F10" s="105" t="e">
        <f t="shared" ref="F10" si="11">IF(COUNT(K10:P10)&lt;3*AND(E10=I10),$I$4,IF(E10=G10,$G$4,IF(E10=H10,$H$4,IF(E10=J10,$J$4,"Outro"))))</f>
        <v>#DIV/0!</v>
      </c>
      <c r="G10" s="106" t="e">
        <f t="shared" ref="G10" si="12">AVERAGEIFS(K10:P10,K10:P10,"&lt;="&amp;(AVERAGE(K10:P10)+_xlfn.STDEV.S(K10:P10)),K10:P10,"&gt;="&amp;(AVERAGE(K10:P10)-_xlfn.STDEV.S(K10:P10)))</f>
        <v>#DIV/0!</v>
      </c>
      <c r="H10" s="106" t="e">
        <f t="shared" ref="H10" si="13">SMALL(K10:P10,1)</f>
        <v>#NUM!</v>
      </c>
      <c r="I10" s="106" t="e">
        <f t="shared" ref="I10" si="14">AVERAGE(K10:P10)</f>
        <v>#DIV/0!</v>
      </c>
      <c r="J10" s="106" t="e">
        <f t="shared" ref="J10" si="15">MEDIAN(K10:P10)</f>
        <v>#NUM!</v>
      </c>
      <c r="K10" s="104"/>
      <c r="L10" s="104"/>
      <c r="M10" s="104"/>
      <c r="N10" s="107"/>
      <c r="O10" s="107"/>
      <c r="P10" s="107"/>
      <c r="Q10" s="145" t="str">
        <f t="shared" ref="Q10" si="16">IF(ISBLANK(A10)," ",ROUND(($B$2-A10)/30.44,0))</f>
        <v xml:space="preserve"> </v>
      </c>
      <c r="R10" s="102" t="e">
        <f t="shared" ref="R10" si="17">EDATE(A10,-1)</f>
        <v>#NUM!</v>
      </c>
      <c r="S10" s="108" t="e">
        <f>VLOOKUP(R10,IPCA!$D:$E,2,FALSE)</f>
        <v>#NUM!</v>
      </c>
      <c r="T10" s="108">
        <f>VLOOKUP($B$2,IPCA!$C:$E,3,FALSE)</f>
        <v>7331.98</v>
      </c>
      <c r="U10" s="109"/>
    </row>
    <row r="11" spans="1:21" x14ac:dyDescent="0.3">
      <c r="A11" s="96"/>
      <c r="B11" s="97"/>
      <c r="C11" s="98"/>
      <c r="D11" s="98"/>
      <c r="E11" s="98"/>
      <c r="F11" s="99"/>
      <c r="G11" s="99"/>
      <c r="H11" s="99"/>
      <c r="I11" s="99"/>
      <c r="J11" s="99"/>
      <c r="K11" s="98"/>
      <c r="L11" s="98"/>
      <c r="M11" s="98"/>
      <c r="N11" s="98"/>
      <c r="O11" s="98"/>
      <c r="P11" s="98"/>
      <c r="Q11" s="144"/>
      <c r="R11" s="96"/>
      <c r="S11" s="100"/>
      <c r="T11" s="100"/>
      <c r="U11" s="101"/>
    </row>
    <row r="12" spans="1:21" x14ac:dyDescent="0.3">
      <c r="A12" s="102"/>
      <c r="B12" s="103"/>
      <c r="C12" s="104"/>
      <c r="D12" s="104" t="str">
        <f t="shared" ref="D12" si="18">_xlfn.IFS(AND(Q12&gt;6,Q12&lt;=36),E12*T12/S12,Q12&lt;=6,E12,Q12=" "," ",Q12&gt;36,"ERRO")</f>
        <v xml:space="preserve"> </v>
      </c>
      <c r="E12" s="104" t="e">
        <f t="shared" ref="E12" si="19">IF(COUNT(K12:P12)&lt;2,I12,G12)</f>
        <v>#DIV/0!</v>
      </c>
      <c r="F12" s="105" t="e">
        <f t="shared" ref="F12" si="20">IF(COUNT(K12:P12)&lt;3*AND(E12=I12),$I$4,IF(E12=G12,$G$4,IF(E12=H12,$H$4,IF(E12=J12,$J$4,"Outro"))))</f>
        <v>#DIV/0!</v>
      </c>
      <c r="G12" s="106" t="e">
        <f t="shared" ref="G12" si="21">AVERAGEIFS(K12:P12,K12:P12,"&lt;="&amp;(AVERAGE(K12:P12)+_xlfn.STDEV.S(K12:P12)),K12:P12,"&gt;="&amp;(AVERAGE(K12:P12)-_xlfn.STDEV.S(K12:P12)))</f>
        <v>#DIV/0!</v>
      </c>
      <c r="H12" s="106" t="e">
        <f t="shared" ref="H12" si="22">SMALL(K12:P12,1)</f>
        <v>#NUM!</v>
      </c>
      <c r="I12" s="106" t="e">
        <f t="shared" ref="I12" si="23">AVERAGE(K12:P12)</f>
        <v>#DIV/0!</v>
      </c>
      <c r="J12" s="106" t="e">
        <f t="shared" ref="J12" si="24">MEDIAN(K12:P12)</f>
        <v>#NUM!</v>
      </c>
      <c r="K12" s="104"/>
      <c r="L12" s="104"/>
      <c r="M12" s="104"/>
      <c r="N12" s="107"/>
      <c r="O12" s="107"/>
      <c r="P12" s="107"/>
      <c r="Q12" s="145" t="str">
        <f t="shared" ref="Q12" si="25">IF(ISBLANK(A12)," ",ROUND(($B$2-A12)/30.44,0))</f>
        <v xml:space="preserve"> </v>
      </c>
      <c r="R12" s="102" t="e">
        <f t="shared" ref="R12" si="26">EDATE(A12,-1)</f>
        <v>#NUM!</v>
      </c>
      <c r="S12" s="108" t="e">
        <f>VLOOKUP(R12,IPCA!$D:$E,2,FALSE)</f>
        <v>#NUM!</v>
      </c>
      <c r="T12" s="108">
        <f>VLOOKUP($B$2,IPCA!$C:$E,3,FALSE)</f>
        <v>7331.98</v>
      </c>
      <c r="U12" s="109"/>
    </row>
    <row r="13" spans="1:21" x14ac:dyDescent="0.3">
      <c r="A13" s="96"/>
      <c r="B13" s="97"/>
      <c r="C13" s="98"/>
      <c r="D13" s="98"/>
      <c r="E13" s="98"/>
      <c r="F13" s="99"/>
      <c r="G13" s="99"/>
      <c r="H13" s="99"/>
      <c r="I13" s="99"/>
      <c r="J13" s="99"/>
      <c r="K13" s="98"/>
      <c r="L13" s="98"/>
      <c r="M13" s="98"/>
      <c r="N13" s="98"/>
      <c r="O13" s="98"/>
      <c r="P13" s="98"/>
      <c r="Q13" s="144"/>
      <c r="R13" s="96"/>
      <c r="S13" s="100"/>
      <c r="T13" s="100"/>
      <c r="U13" s="101"/>
    </row>
    <row r="14" spans="1:21" x14ac:dyDescent="0.3">
      <c r="A14" s="102"/>
      <c r="B14" s="103"/>
      <c r="C14" s="104"/>
      <c r="D14" s="104" t="str">
        <f t="shared" ref="D14" si="27">_xlfn.IFS(AND(Q14&gt;6,Q14&lt;=36),E14*T14/S14,Q14&lt;=6,E14,Q14=" "," ",Q14&gt;36,"ERRO")</f>
        <v xml:space="preserve"> </v>
      </c>
      <c r="E14" s="104" t="e">
        <f t="shared" ref="E14" si="28">IF(COUNT(K14:P14)&lt;2,I14,G14)</f>
        <v>#DIV/0!</v>
      </c>
      <c r="F14" s="105" t="e">
        <f t="shared" ref="F14" si="29">IF(COUNT(K14:P14)&lt;3*AND(E14=I14),$I$4,IF(E14=G14,$G$4,IF(E14=H14,$H$4,IF(E14=J14,$J$4,"Outro"))))</f>
        <v>#DIV/0!</v>
      </c>
      <c r="G14" s="106" t="e">
        <f t="shared" ref="G14" si="30">AVERAGEIFS(K14:P14,K14:P14,"&lt;="&amp;(AVERAGE(K14:P14)+_xlfn.STDEV.S(K14:P14)),K14:P14,"&gt;="&amp;(AVERAGE(K14:P14)-_xlfn.STDEV.S(K14:P14)))</f>
        <v>#DIV/0!</v>
      </c>
      <c r="H14" s="106" t="e">
        <f t="shared" ref="H14" si="31">SMALL(K14:P14,1)</f>
        <v>#NUM!</v>
      </c>
      <c r="I14" s="106" t="e">
        <f t="shared" ref="I14" si="32">AVERAGE(K14:P14)</f>
        <v>#DIV/0!</v>
      </c>
      <c r="J14" s="106" t="e">
        <f t="shared" ref="J14" si="33">MEDIAN(K14:P14)</f>
        <v>#NUM!</v>
      </c>
      <c r="K14" s="104"/>
      <c r="L14" s="104"/>
      <c r="M14" s="104"/>
      <c r="N14" s="107"/>
      <c r="O14" s="107"/>
      <c r="P14" s="107"/>
      <c r="Q14" s="145" t="str">
        <f t="shared" ref="Q14" si="34">IF(ISBLANK(A14)," ",ROUND(($B$2-A14)/30.44,0))</f>
        <v xml:space="preserve"> </v>
      </c>
      <c r="R14" s="102" t="e">
        <f t="shared" ref="R14" si="35">EDATE(A14,-1)</f>
        <v>#NUM!</v>
      </c>
      <c r="S14" s="108" t="e">
        <f>VLOOKUP(R14,IPCA!$D:$E,2,FALSE)</f>
        <v>#NUM!</v>
      </c>
      <c r="T14" s="108">
        <f>VLOOKUP($B$2,IPCA!$C:$E,3,FALSE)</f>
        <v>7331.98</v>
      </c>
      <c r="U14" s="109"/>
    </row>
    <row r="15" spans="1:21" x14ac:dyDescent="0.3">
      <c r="A15" s="96"/>
      <c r="B15" s="97"/>
      <c r="C15" s="98"/>
      <c r="D15" s="98"/>
      <c r="E15" s="98"/>
      <c r="F15" s="99"/>
      <c r="G15" s="99"/>
      <c r="H15" s="99"/>
      <c r="I15" s="99"/>
      <c r="J15" s="99"/>
      <c r="K15" s="98"/>
      <c r="L15" s="98"/>
      <c r="M15" s="98"/>
      <c r="N15" s="98"/>
      <c r="O15" s="98"/>
      <c r="P15" s="98"/>
      <c r="Q15" s="144"/>
      <c r="R15" s="96"/>
      <c r="S15" s="100"/>
      <c r="T15" s="100"/>
      <c r="U15" s="101"/>
    </row>
    <row r="16" spans="1:21" x14ac:dyDescent="0.3">
      <c r="A16" s="102"/>
      <c r="B16" s="103"/>
      <c r="C16" s="104"/>
      <c r="D16" s="104" t="str">
        <f t="shared" ref="D16" si="36">_xlfn.IFS(AND(Q16&gt;6,Q16&lt;=36),E16*T16/S16,Q16&lt;=6,E16,Q16=" "," ",Q16&gt;36,"ERRO")</f>
        <v xml:space="preserve"> </v>
      </c>
      <c r="E16" s="104" t="e">
        <f t="shared" ref="E16" si="37">IF(COUNT(K16:P16)&lt;2,I16,G16)</f>
        <v>#DIV/0!</v>
      </c>
      <c r="F16" s="105" t="e">
        <f t="shared" ref="F16" si="38">IF(COUNT(K16:P16)&lt;3*AND(E16=I16),$I$4,IF(E16=G16,$G$4,IF(E16=H16,$H$4,IF(E16=J16,$J$4,"Outro"))))</f>
        <v>#DIV/0!</v>
      </c>
      <c r="G16" s="106" t="e">
        <f t="shared" ref="G16" si="39">AVERAGEIFS(K16:P16,K16:P16,"&lt;="&amp;(AVERAGE(K16:P16)+_xlfn.STDEV.S(K16:P16)),K16:P16,"&gt;="&amp;(AVERAGE(K16:P16)-_xlfn.STDEV.S(K16:P16)))</f>
        <v>#DIV/0!</v>
      </c>
      <c r="H16" s="106" t="e">
        <f t="shared" ref="H16" si="40">SMALL(K16:P16,1)</f>
        <v>#NUM!</v>
      </c>
      <c r="I16" s="106" t="e">
        <f t="shared" ref="I16" si="41">AVERAGE(K16:P16)</f>
        <v>#DIV/0!</v>
      </c>
      <c r="J16" s="106" t="e">
        <f t="shared" ref="J16" si="42">MEDIAN(K16:P16)</f>
        <v>#NUM!</v>
      </c>
      <c r="K16" s="104"/>
      <c r="L16" s="104"/>
      <c r="M16" s="104"/>
      <c r="N16" s="107"/>
      <c r="O16" s="107"/>
      <c r="P16" s="107"/>
      <c r="Q16" s="145" t="str">
        <f t="shared" ref="Q16" si="43">IF(ISBLANK(A16)," ",ROUND(($B$2-A16)/30.44,0))</f>
        <v xml:space="preserve"> </v>
      </c>
      <c r="R16" s="102" t="e">
        <f t="shared" ref="R16" si="44">EDATE(A16,-1)</f>
        <v>#NUM!</v>
      </c>
      <c r="S16" s="108" t="e">
        <f>VLOOKUP(R16,IPCA!$D:$E,2,FALSE)</f>
        <v>#NUM!</v>
      </c>
      <c r="T16" s="108">
        <f>VLOOKUP($B$2,IPCA!$C:$E,3,FALSE)</f>
        <v>7331.98</v>
      </c>
      <c r="U16" s="109"/>
    </row>
    <row r="17" spans="1:21" x14ac:dyDescent="0.3">
      <c r="A17" s="96"/>
      <c r="B17" s="97"/>
      <c r="C17" s="98"/>
      <c r="D17" s="98"/>
      <c r="E17" s="98"/>
      <c r="F17" s="99"/>
      <c r="G17" s="99"/>
      <c r="H17" s="99"/>
      <c r="I17" s="99"/>
      <c r="J17" s="99"/>
      <c r="K17" s="98"/>
      <c r="L17" s="98"/>
      <c r="M17" s="98"/>
      <c r="N17" s="98"/>
      <c r="O17" s="98"/>
      <c r="P17" s="98"/>
      <c r="Q17" s="144"/>
      <c r="R17" s="96"/>
      <c r="S17" s="100"/>
      <c r="T17" s="100"/>
      <c r="U17" s="101"/>
    </row>
    <row r="18" spans="1:21" x14ac:dyDescent="0.3">
      <c r="A18" s="102"/>
      <c r="B18" s="103"/>
      <c r="C18" s="104"/>
      <c r="D18" s="104" t="str">
        <f t="shared" ref="D18" si="45">_xlfn.IFS(AND(Q18&gt;6,Q18&lt;=36),E18*T18/S18,Q18&lt;=6,E18,Q18=" "," ",Q18&gt;36,"ERRO")</f>
        <v xml:space="preserve"> </v>
      </c>
      <c r="E18" s="104" t="e">
        <f t="shared" ref="E18" si="46">IF(COUNT(K18:P18)&lt;2,I18,G18)</f>
        <v>#DIV/0!</v>
      </c>
      <c r="F18" s="105" t="e">
        <f t="shared" ref="F18" si="47">IF(COUNT(K18:P18)&lt;3*AND(E18=I18),$I$4,IF(E18=G18,$G$4,IF(E18=H18,$H$4,IF(E18=J18,$J$4,"Outro"))))</f>
        <v>#DIV/0!</v>
      </c>
      <c r="G18" s="106" t="e">
        <f t="shared" ref="G18" si="48">AVERAGEIFS(K18:P18,K18:P18,"&lt;="&amp;(AVERAGE(K18:P18)+_xlfn.STDEV.S(K18:P18)),K18:P18,"&gt;="&amp;(AVERAGE(K18:P18)-_xlfn.STDEV.S(K18:P18)))</f>
        <v>#DIV/0!</v>
      </c>
      <c r="H18" s="106" t="e">
        <f t="shared" ref="H18" si="49">SMALL(K18:P18,1)</f>
        <v>#NUM!</v>
      </c>
      <c r="I18" s="106" t="e">
        <f t="shared" ref="I18" si="50">AVERAGE(K18:P18)</f>
        <v>#DIV/0!</v>
      </c>
      <c r="J18" s="106" t="e">
        <f t="shared" ref="J18" si="51">MEDIAN(K18:P18)</f>
        <v>#NUM!</v>
      </c>
      <c r="K18" s="104"/>
      <c r="L18" s="104"/>
      <c r="M18" s="104"/>
      <c r="N18" s="107"/>
      <c r="O18" s="107"/>
      <c r="P18" s="107"/>
      <c r="Q18" s="145" t="str">
        <f t="shared" ref="Q18" si="52">IF(ISBLANK(A18)," ",ROUND(($B$2-A18)/30.44,0))</f>
        <v xml:space="preserve"> </v>
      </c>
      <c r="R18" s="102" t="e">
        <f t="shared" ref="R18" si="53">EDATE(A18,-1)</f>
        <v>#NUM!</v>
      </c>
      <c r="S18" s="108" t="e">
        <f>VLOOKUP(R18,IPCA!$D:$E,2,FALSE)</f>
        <v>#NUM!</v>
      </c>
      <c r="T18" s="108">
        <f>VLOOKUP($B$2,IPCA!$C:$E,3,FALSE)</f>
        <v>7331.98</v>
      </c>
      <c r="U18" s="109"/>
    </row>
    <row r="19" spans="1:21" x14ac:dyDescent="0.3">
      <c r="A19" s="96"/>
      <c r="B19" s="97"/>
      <c r="C19" s="98"/>
      <c r="D19" s="98"/>
      <c r="E19" s="98"/>
      <c r="F19" s="99"/>
      <c r="G19" s="99"/>
      <c r="H19" s="99"/>
      <c r="I19" s="99"/>
      <c r="J19" s="99"/>
      <c r="K19" s="98"/>
      <c r="L19" s="98"/>
      <c r="M19" s="98"/>
      <c r="N19" s="98"/>
      <c r="O19" s="98"/>
      <c r="P19" s="98"/>
      <c r="Q19" s="144"/>
      <c r="R19" s="96"/>
      <c r="S19" s="100"/>
      <c r="T19" s="100"/>
      <c r="U19" s="101"/>
    </row>
    <row r="20" spans="1:21" x14ac:dyDescent="0.3">
      <c r="A20" s="102"/>
      <c r="B20" s="103"/>
      <c r="C20" s="104"/>
      <c r="D20" s="104" t="str">
        <f t="shared" ref="D20" si="54">_xlfn.IFS(AND(Q20&gt;6,Q20&lt;=36),E20*T20/S20,Q20&lt;=6,E20,Q20=" "," ",Q20&gt;36,"ERRO")</f>
        <v xml:space="preserve"> </v>
      </c>
      <c r="E20" s="104" t="e">
        <f t="shared" ref="E20" si="55">IF(COUNT(K20:P20)&lt;2,I20,G20)</f>
        <v>#DIV/0!</v>
      </c>
      <c r="F20" s="105" t="e">
        <f t="shared" ref="F20" si="56">IF(COUNT(K20:P20)&lt;3*AND(E20=I20),$I$4,IF(E20=G20,$G$4,IF(E20=H20,$H$4,IF(E20=J20,$J$4,"Outro"))))</f>
        <v>#DIV/0!</v>
      </c>
      <c r="G20" s="106" t="e">
        <f t="shared" ref="G20" si="57">AVERAGEIFS(K20:P20,K20:P20,"&lt;="&amp;(AVERAGE(K20:P20)+_xlfn.STDEV.S(K20:P20)),K20:P20,"&gt;="&amp;(AVERAGE(K20:P20)-_xlfn.STDEV.S(K20:P20)))</f>
        <v>#DIV/0!</v>
      </c>
      <c r="H20" s="106" t="e">
        <f t="shared" ref="H20" si="58">SMALL(K20:P20,1)</f>
        <v>#NUM!</v>
      </c>
      <c r="I20" s="106" t="e">
        <f t="shared" ref="I20" si="59">AVERAGE(K20:P20)</f>
        <v>#DIV/0!</v>
      </c>
      <c r="J20" s="106" t="e">
        <f t="shared" ref="J20" si="60">MEDIAN(K20:P20)</f>
        <v>#NUM!</v>
      </c>
      <c r="K20" s="104"/>
      <c r="L20" s="104"/>
      <c r="M20" s="104"/>
      <c r="N20" s="107"/>
      <c r="O20" s="107"/>
      <c r="P20" s="107"/>
      <c r="Q20" s="145" t="str">
        <f t="shared" ref="Q20" si="61">IF(ISBLANK(A20)," ",ROUND(($B$2-A20)/30.44,0))</f>
        <v xml:space="preserve"> </v>
      </c>
      <c r="R20" s="102" t="e">
        <f t="shared" ref="R20" si="62">EDATE(A20,-1)</f>
        <v>#NUM!</v>
      </c>
      <c r="S20" s="108" t="e">
        <f>VLOOKUP(R20,IPCA!$D:$E,2,FALSE)</f>
        <v>#NUM!</v>
      </c>
      <c r="T20" s="108">
        <f>VLOOKUP($B$2,IPCA!$C:$E,3,FALSE)</f>
        <v>7331.98</v>
      </c>
      <c r="U20" s="109"/>
    </row>
    <row r="21" spans="1:21" x14ac:dyDescent="0.3">
      <c r="A21" s="96"/>
      <c r="B21" s="97"/>
      <c r="C21" s="98"/>
      <c r="D21" s="98"/>
      <c r="E21" s="98"/>
      <c r="F21" s="99"/>
      <c r="G21" s="99"/>
      <c r="H21" s="99"/>
      <c r="I21" s="99"/>
      <c r="J21" s="99"/>
      <c r="K21" s="98"/>
      <c r="L21" s="98"/>
      <c r="M21" s="98"/>
      <c r="N21" s="98"/>
      <c r="O21" s="98"/>
      <c r="P21" s="98"/>
      <c r="Q21" s="144"/>
      <c r="R21" s="96"/>
      <c r="S21" s="100"/>
      <c r="T21" s="100"/>
      <c r="U21" s="101"/>
    </row>
    <row r="22" spans="1:21" x14ac:dyDescent="0.3">
      <c r="A22" s="102"/>
      <c r="B22" s="103"/>
      <c r="C22" s="104"/>
      <c r="D22" s="104" t="str">
        <f t="shared" ref="D22" si="63">_xlfn.IFS(AND(Q22&gt;6,Q22&lt;=36),E22*T22/S22,Q22&lt;=6,E22,Q22=" "," ",Q22&gt;36,"ERRO")</f>
        <v xml:space="preserve"> </v>
      </c>
      <c r="E22" s="104" t="e">
        <f t="shared" ref="E22" si="64">IF(COUNT(K22:P22)&lt;2,I22,G22)</f>
        <v>#DIV/0!</v>
      </c>
      <c r="F22" s="105" t="e">
        <f t="shared" ref="F22" si="65">IF(COUNT(K22:P22)&lt;3*AND(E22=I22),$I$4,IF(E22=G22,$G$4,IF(E22=H22,$H$4,IF(E22=J22,$J$4,"Outro"))))</f>
        <v>#DIV/0!</v>
      </c>
      <c r="G22" s="106" t="e">
        <f t="shared" ref="G22" si="66">AVERAGEIFS(K22:P22,K22:P22,"&lt;="&amp;(AVERAGE(K22:P22)+_xlfn.STDEV.S(K22:P22)),K22:P22,"&gt;="&amp;(AVERAGE(K22:P22)-_xlfn.STDEV.S(K22:P22)))</f>
        <v>#DIV/0!</v>
      </c>
      <c r="H22" s="106" t="e">
        <f t="shared" ref="H22" si="67">SMALL(K22:P22,1)</f>
        <v>#NUM!</v>
      </c>
      <c r="I22" s="106" t="e">
        <f t="shared" ref="I22" si="68">AVERAGE(K22:P22)</f>
        <v>#DIV/0!</v>
      </c>
      <c r="J22" s="106" t="e">
        <f t="shared" ref="J22" si="69">MEDIAN(K22:P22)</f>
        <v>#NUM!</v>
      </c>
      <c r="K22" s="104"/>
      <c r="L22" s="104"/>
      <c r="M22" s="104"/>
      <c r="N22" s="107"/>
      <c r="O22" s="107"/>
      <c r="P22" s="107"/>
      <c r="Q22" s="145" t="str">
        <f t="shared" ref="Q22" si="70">IF(ISBLANK(A22)," ",ROUND(($B$2-A22)/30.44,0))</f>
        <v xml:space="preserve"> </v>
      </c>
      <c r="R22" s="102" t="e">
        <f t="shared" ref="R22" si="71">EDATE(A22,-1)</f>
        <v>#NUM!</v>
      </c>
      <c r="S22" s="108" t="e">
        <f>VLOOKUP(R22,IPCA!$D:$E,2,FALSE)</f>
        <v>#NUM!</v>
      </c>
      <c r="T22" s="108">
        <f>VLOOKUP($B$2,IPCA!$C:$E,3,FALSE)</f>
        <v>7331.98</v>
      </c>
      <c r="U22" s="109"/>
    </row>
    <row r="23" spans="1:21" x14ac:dyDescent="0.3">
      <c r="A23" s="96"/>
      <c r="B23" s="97"/>
      <c r="C23" s="98"/>
      <c r="D23" s="98"/>
      <c r="E23" s="98"/>
      <c r="F23" s="99"/>
      <c r="G23" s="99"/>
      <c r="H23" s="99"/>
      <c r="I23" s="99"/>
      <c r="J23" s="99"/>
      <c r="K23" s="98"/>
      <c r="L23" s="98"/>
      <c r="M23" s="98"/>
      <c r="N23" s="98"/>
      <c r="O23" s="98"/>
      <c r="P23" s="98"/>
      <c r="Q23" s="144"/>
      <c r="R23" s="96"/>
      <c r="S23" s="100"/>
      <c r="T23" s="100"/>
      <c r="U23" s="101"/>
    </row>
    <row r="24" spans="1:21" x14ac:dyDescent="0.3">
      <c r="A24" s="102"/>
      <c r="B24" s="103"/>
      <c r="C24" s="104"/>
      <c r="D24" s="104" t="str">
        <f t="shared" ref="D24" si="72">_xlfn.IFS(AND(Q24&gt;6,Q24&lt;=36),E24*T24/S24,Q24&lt;=6,E24,Q24=" "," ",Q24&gt;36,"ERRO")</f>
        <v xml:space="preserve"> </v>
      </c>
      <c r="E24" s="104" t="e">
        <f t="shared" ref="E24" si="73">IF(COUNT(K24:P24)&lt;2,I24,G24)</f>
        <v>#DIV/0!</v>
      </c>
      <c r="F24" s="105" t="e">
        <f t="shared" ref="F24" si="74">IF(COUNT(K24:P24)&lt;3*AND(E24=I24),$I$4,IF(E24=G24,$G$4,IF(E24=H24,$H$4,IF(E24=J24,$J$4,"Outro"))))</f>
        <v>#DIV/0!</v>
      </c>
      <c r="G24" s="106" t="e">
        <f t="shared" ref="G24" si="75">AVERAGEIFS(K24:P24,K24:P24,"&lt;="&amp;(AVERAGE(K24:P24)+_xlfn.STDEV.S(K24:P24)),K24:P24,"&gt;="&amp;(AVERAGE(K24:P24)-_xlfn.STDEV.S(K24:P24)))</f>
        <v>#DIV/0!</v>
      </c>
      <c r="H24" s="106" t="e">
        <f t="shared" ref="H24" si="76">SMALL(K24:P24,1)</f>
        <v>#NUM!</v>
      </c>
      <c r="I24" s="106" t="e">
        <f t="shared" ref="I24" si="77">AVERAGE(K24:P24)</f>
        <v>#DIV/0!</v>
      </c>
      <c r="J24" s="106" t="e">
        <f t="shared" ref="J24" si="78">MEDIAN(K24:P24)</f>
        <v>#NUM!</v>
      </c>
      <c r="K24" s="104"/>
      <c r="L24" s="104"/>
      <c r="M24" s="104"/>
      <c r="N24" s="107"/>
      <c r="O24" s="107"/>
      <c r="P24" s="107"/>
      <c r="Q24" s="145" t="str">
        <f t="shared" ref="Q24" si="79">IF(ISBLANK(A24)," ",ROUND(($B$2-A24)/30.44,0))</f>
        <v xml:space="preserve"> </v>
      </c>
      <c r="R24" s="102" t="e">
        <f t="shared" ref="R24" si="80">EDATE(A24,-1)</f>
        <v>#NUM!</v>
      </c>
      <c r="S24" s="108" t="e">
        <f>VLOOKUP(R24,IPCA!$D:$E,2,FALSE)</f>
        <v>#NUM!</v>
      </c>
      <c r="T24" s="108">
        <f>VLOOKUP($B$2,IPCA!$C:$E,3,FALSE)</f>
        <v>7331.98</v>
      </c>
      <c r="U24" s="109"/>
    </row>
    <row r="25" spans="1:21" x14ac:dyDescent="0.3">
      <c r="A25" s="96"/>
      <c r="B25" s="97"/>
      <c r="C25" s="98"/>
      <c r="D25" s="98"/>
      <c r="E25" s="98"/>
      <c r="F25" s="99"/>
      <c r="G25" s="99"/>
      <c r="H25" s="99"/>
      <c r="I25" s="99"/>
      <c r="J25" s="99"/>
      <c r="K25" s="98"/>
      <c r="L25" s="98"/>
      <c r="M25" s="98"/>
      <c r="N25" s="98"/>
      <c r="O25" s="98"/>
      <c r="P25" s="98"/>
      <c r="Q25" s="144"/>
      <c r="R25" s="96"/>
      <c r="S25" s="100"/>
      <c r="T25" s="100"/>
      <c r="U25" s="101"/>
    </row>
    <row r="26" spans="1:21" x14ac:dyDescent="0.3">
      <c r="A26" s="102"/>
      <c r="B26" s="103"/>
      <c r="C26" s="104"/>
      <c r="D26" s="104" t="str">
        <f t="shared" ref="D26" si="81">_xlfn.IFS(AND(Q26&gt;6,Q26&lt;=36),E26*T26/S26,Q26&lt;=6,E26,Q26=" "," ",Q26&gt;36,"ERRO")</f>
        <v xml:space="preserve"> </v>
      </c>
      <c r="E26" s="104" t="e">
        <f t="shared" ref="E26" si="82">IF(COUNT(K26:P26)&lt;2,I26,G26)</f>
        <v>#DIV/0!</v>
      </c>
      <c r="F26" s="105" t="e">
        <f t="shared" ref="F26" si="83">IF(COUNT(K26:P26)&lt;3*AND(E26=I26),$I$4,IF(E26=G26,$G$4,IF(E26=H26,$H$4,IF(E26=J26,$J$4,"Outro"))))</f>
        <v>#DIV/0!</v>
      </c>
      <c r="G26" s="106" t="e">
        <f t="shared" ref="G26" si="84">AVERAGEIFS(K26:P26,K26:P26,"&lt;="&amp;(AVERAGE(K26:P26)+_xlfn.STDEV.S(K26:P26)),K26:P26,"&gt;="&amp;(AVERAGE(K26:P26)-_xlfn.STDEV.S(K26:P26)))</f>
        <v>#DIV/0!</v>
      </c>
      <c r="H26" s="106" t="e">
        <f t="shared" ref="H26" si="85">SMALL(K26:P26,1)</f>
        <v>#NUM!</v>
      </c>
      <c r="I26" s="106" t="e">
        <f t="shared" ref="I26" si="86">AVERAGE(K26:P26)</f>
        <v>#DIV/0!</v>
      </c>
      <c r="J26" s="106" t="e">
        <f t="shared" ref="J26" si="87">MEDIAN(K26:P26)</f>
        <v>#NUM!</v>
      </c>
      <c r="K26" s="104"/>
      <c r="L26" s="104"/>
      <c r="M26" s="104"/>
      <c r="N26" s="107"/>
      <c r="O26" s="107"/>
      <c r="P26" s="107"/>
      <c r="Q26" s="145" t="str">
        <f t="shared" ref="Q26" si="88">IF(ISBLANK(A26)," ",ROUND(($B$2-A26)/30.44,0))</f>
        <v xml:space="preserve"> </v>
      </c>
      <c r="R26" s="102" t="e">
        <f t="shared" ref="R26" si="89">EDATE(A26,-1)</f>
        <v>#NUM!</v>
      </c>
      <c r="S26" s="108" t="e">
        <f>VLOOKUP(R26,IPCA!$D:$E,2,FALSE)</f>
        <v>#NUM!</v>
      </c>
      <c r="T26" s="108">
        <f>VLOOKUP($B$2,IPCA!$C:$E,3,FALSE)</f>
        <v>7331.98</v>
      </c>
      <c r="U26" s="109"/>
    </row>
    <row r="27" spans="1:21" x14ac:dyDescent="0.3">
      <c r="A27" s="96"/>
      <c r="B27" s="97"/>
      <c r="C27" s="98"/>
      <c r="D27" s="98"/>
      <c r="E27" s="98"/>
      <c r="F27" s="99"/>
      <c r="G27" s="99"/>
      <c r="H27" s="99"/>
      <c r="I27" s="99"/>
      <c r="J27" s="99"/>
      <c r="K27" s="98"/>
      <c r="L27" s="98"/>
      <c r="M27" s="98"/>
      <c r="N27" s="98"/>
      <c r="O27" s="98"/>
      <c r="P27" s="98"/>
      <c r="Q27" s="144"/>
      <c r="R27" s="96"/>
      <c r="S27" s="100"/>
      <c r="T27" s="100"/>
      <c r="U27" s="101"/>
    </row>
    <row r="28" spans="1:21" x14ac:dyDescent="0.3">
      <c r="A28" s="102"/>
      <c r="B28" s="103"/>
      <c r="C28" s="104"/>
      <c r="D28" s="104" t="str">
        <f t="shared" ref="D28" si="90">_xlfn.IFS(AND(Q28&gt;6,Q28&lt;=36),E28*T28/S28,Q28&lt;=6,E28,Q28=" "," ",Q28&gt;36,"ERRO")</f>
        <v xml:space="preserve"> </v>
      </c>
      <c r="E28" s="104" t="e">
        <f t="shared" ref="E28" si="91">IF(COUNT(K28:P28)&lt;2,I28,G28)</f>
        <v>#DIV/0!</v>
      </c>
      <c r="F28" s="105" t="e">
        <f t="shared" ref="F28" si="92">IF(COUNT(K28:P28)&lt;3*AND(E28=I28),$I$4,IF(E28=G28,$G$4,IF(E28=H28,$H$4,IF(E28=J28,$J$4,"Outro"))))</f>
        <v>#DIV/0!</v>
      </c>
      <c r="G28" s="106" t="e">
        <f t="shared" ref="G28" si="93">AVERAGEIFS(K28:P28,K28:P28,"&lt;="&amp;(AVERAGE(K28:P28)+_xlfn.STDEV.S(K28:P28)),K28:P28,"&gt;="&amp;(AVERAGE(K28:P28)-_xlfn.STDEV.S(K28:P28)))</f>
        <v>#DIV/0!</v>
      </c>
      <c r="H28" s="106" t="e">
        <f t="shared" ref="H28" si="94">SMALL(K28:P28,1)</f>
        <v>#NUM!</v>
      </c>
      <c r="I28" s="106" t="e">
        <f t="shared" ref="I28" si="95">AVERAGE(K28:P28)</f>
        <v>#DIV/0!</v>
      </c>
      <c r="J28" s="106" t="e">
        <f t="shared" ref="J28" si="96">MEDIAN(K28:P28)</f>
        <v>#NUM!</v>
      </c>
      <c r="K28" s="104"/>
      <c r="L28" s="104"/>
      <c r="M28" s="104"/>
      <c r="N28" s="107"/>
      <c r="O28" s="107"/>
      <c r="P28" s="107"/>
      <c r="Q28" s="145" t="str">
        <f t="shared" ref="Q28" si="97">IF(ISBLANK(A28)," ",ROUND(($B$2-A28)/30.44,0))</f>
        <v xml:space="preserve"> </v>
      </c>
      <c r="R28" s="102" t="e">
        <f t="shared" ref="R28" si="98">EDATE(A28,-1)</f>
        <v>#NUM!</v>
      </c>
      <c r="S28" s="108" t="e">
        <f>VLOOKUP(R28,IPCA!$D:$E,2,FALSE)</f>
        <v>#NUM!</v>
      </c>
      <c r="T28" s="108">
        <f>VLOOKUP($B$2,IPCA!$C:$E,3,FALSE)</f>
        <v>7331.98</v>
      </c>
      <c r="U28" s="109"/>
    </row>
    <row r="29" spans="1:21" x14ac:dyDescent="0.3">
      <c r="A29" s="96"/>
      <c r="B29" s="97"/>
      <c r="C29" s="98"/>
      <c r="D29" s="98"/>
      <c r="E29" s="98"/>
      <c r="F29" s="99"/>
      <c r="G29" s="99"/>
      <c r="H29" s="99"/>
      <c r="I29" s="99"/>
      <c r="J29" s="99"/>
      <c r="K29" s="98"/>
      <c r="L29" s="98"/>
      <c r="M29" s="98"/>
      <c r="N29" s="98"/>
      <c r="O29" s="98"/>
      <c r="P29" s="98"/>
      <c r="Q29" s="144"/>
      <c r="R29" s="96"/>
      <c r="S29" s="100"/>
      <c r="T29" s="100"/>
      <c r="U29" s="101"/>
    </row>
    <row r="30" spans="1:21" x14ac:dyDescent="0.3">
      <c r="A30" s="102"/>
      <c r="B30" s="103"/>
      <c r="C30" s="104"/>
      <c r="D30" s="104" t="str">
        <f t="shared" ref="D30" si="99">_xlfn.IFS(AND(Q30&gt;6,Q30&lt;=36),E30*T30/S30,Q30&lt;=6,E30,Q30=" "," ",Q30&gt;36,"ERRO")</f>
        <v xml:space="preserve"> </v>
      </c>
      <c r="E30" s="104" t="e">
        <f t="shared" ref="E30" si="100">IF(COUNT(K30:P30)&lt;2,I30,G30)</f>
        <v>#DIV/0!</v>
      </c>
      <c r="F30" s="105" t="e">
        <f t="shared" ref="F30" si="101">IF(COUNT(K30:P30)&lt;3*AND(E30=I30),$I$4,IF(E30=G30,$G$4,IF(E30=H30,$H$4,IF(E30=J30,$J$4,"Outro"))))</f>
        <v>#DIV/0!</v>
      </c>
      <c r="G30" s="106" t="e">
        <f t="shared" ref="G30" si="102">AVERAGEIFS(K30:P30,K30:P30,"&lt;="&amp;(AVERAGE(K30:P30)+_xlfn.STDEV.S(K30:P30)),K30:P30,"&gt;="&amp;(AVERAGE(K30:P30)-_xlfn.STDEV.S(K30:P30)))</f>
        <v>#DIV/0!</v>
      </c>
      <c r="H30" s="106" t="e">
        <f t="shared" ref="H30" si="103">SMALL(K30:P30,1)</f>
        <v>#NUM!</v>
      </c>
      <c r="I30" s="106" t="e">
        <f t="shared" ref="I30" si="104">AVERAGE(K30:P30)</f>
        <v>#DIV/0!</v>
      </c>
      <c r="J30" s="106" t="e">
        <f t="shared" ref="J30" si="105">MEDIAN(K30:P30)</f>
        <v>#NUM!</v>
      </c>
      <c r="K30" s="104"/>
      <c r="L30" s="104"/>
      <c r="M30" s="104"/>
      <c r="N30" s="107"/>
      <c r="O30" s="107"/>
      <c r="P30" s="107"/>
      <c r="Q30" s="145" t="str">
        <f t="shared" ref="Q30" si="106">IF(ISBLANK(A30)," ",ROUND(($B$2-A30)/30.44,0))</f>
        <v xml:space="preserve"> </v>
      </c>
      <c r="R30" s="102" t="e">
        <f t="shared" ref="R30" si="107">EDATE(A30,-1)</f>
        <v>#NUM!</v>
      </c>
      <c r="S30" s="108" t="e">
        <f>VLOOKUP(R30,IPCA!$D:$E,2,FALSE)</f>
        <v>#NUM!</v>
      </c>
      <c r="T30" s="108">
        <f>VLOOKUP($B$2,IPCA!$C:$E,3,FALSE)</f>
        <v>7331.98</v>
      </c>
      <c r="U30" s="109"/>
    </row>
    <row r="31" spans="1:21" x14ac:dyDescent="0.3">
      <c r="A31" s="96"/>
      <c r="B31" s="97"/>
      <c r="C31" s="98"/>
      <c r="D31" s="98"/>
      <c r="E31" s="98"/>
      <c r="F31" s="99"/>
      <c r="G31" s="99"/>
      <c r="H31" s="99"/>
      <c r="I31" s="99"/>
      <c r="J31" s="99"/>
      <c r="K31" s="98"/>
      <c r="L31" s="98"/>
      <c r="M31" s="98"/>
      <c r="N31" s="98"/>
      <c r="O31" s="98"/>
      <c r="P31" s="98"/>
      <c r="Q31" s="144"/>
      <c r="R31" s="96"/>
      <c r="S31" s="100"/>
      <c r="T31" s="100"/>
      <c r="U31" s="101"/>
    </row>
    <row r="32" spans="1:21" x14ac:dyDescent="0.3">
      <c r="A32" s="102"/>
      <c r="B32" s="103"/>
      <c r="C32" s="104"/>
      <c r="D32" s="104" t="str">
        <f t="shared" ref="D32" si="108">_xlfn.IFS(AND(Q32&gt;6,Q32&lt;=36),E32*T32/S32,Q32&lt;=6,E32,Q32=" "," ",Q32&gt;36,"ERRO")</f>
        <v xml:space="preserve"> </v>
      </c>
      <c r="E32" s="104" t="e">
        <f t="shared" ref="E32" si="109">IF(COUNT(K32:P32)&lt;2,I32,G32)</f>
        <v>#DIV/0!</v>
      </c>
      <c r="F32" s="105" t="e">
        <f t="shared" ref="F32" si="110">IF(COUNT(K32:P32)&lt;3*AND(E32=I32),$I$4,IF(E32=G32,$G$4,IF(E32=H32,$H$4,IF(E32=J32,$J$4,"Outro"))))</f>
        <v>#DIV/0!</v>
      </c>
      <c r="G32" s="106" t="e">
        <f t="shared" ref="G32" si="111">AVERAGEIFS(K32:P32,K32:P32,"&lt;="&amp;(AVERAGE(K32:P32)+_xlfn.STDEV.S(K32:P32)),K32:P32,"&gt;="&amp;(AVERAGE(K32:P32)-_xlfn.STDEV.S(K32:P32)))</f>
        <v>#DIV/0!</v>
      </c>
      <c r="H32" s="106" t="e">
        <f t="shared" ref="H32" si="112">SMALL(K32:P32,1)</f>
        <v>#NUM!</v>
      </c>
      <c r="I32" s="106" t="e">
        <f t="shared" ref="I32" si="113">AVERAGE(K32:P32)</f>
        <v>#DIV/0!</v>
      </c>
      <c r="J32" s="106" t="e">
        <f t="shared" ref="J32" si="114">MEDIAN(K32:P32)</f>
        <v>#NUM!</v>
      </c>
      <c r="K32" s="104"/>
      <c r="L32" s="104"/>
      <c r="M32" s="104"/>
      <c r="N32" s="107"/>
      <c r="O32" s="107"/>
      <c r="P32" s="107"/>
      <c r="Q32" s="145" t="str">
        <f t="shared" ref="Q32" si="115">IF(ISBLANK(A32)," ",ROUND(($B$2-A32)/30.44,0))</f>
        <v xml:space="preserve"> </v>
      </c>
      <c r="R32" s="102" t="e">
        <f t="shared" ref="R32" si="116">EDATE(A32,-1)</f>
        <v>#NUM!</v>
      </c>
      <c r="S32" s="108" t="e">
        <f>VLOOKUP(R32,IPCA!$D:$E,2,FALSE)</f>
        <v>#NUM!</v>
      </c>
      <c r="T32" s="108">
        <f>VLOOKUP($B$2,IPCA!$C:$E,3,FALSE)</f>
        <v>7331.98</v>
      </c>
      <c r="U32" s="109"/>
    </row>
    <row r="33" spans="1:21" x14ac:dyDescent="0.3">
      <c r="A33" s="96"/>
      <c r="B33" s="97"/>
      <c r="C33" s="98"/>
      <c r="D33" s="98"/>
      <c r="E33" s="98"/>
      <c r="F33" s="99"/>
      <c r="G33" s="99"/>
      <c r="H33" s="99"/>
      <c r="I33" s="99"/>
      <c r="J33" s="99"/>
      <c r="K33" s="98"/>
      <c r="L33" s="98"/>
      <c r="M33" s="98"/>
      <c r="N33" s="98"/>
      <c r="O33" s="98"/>
      <c r="P33" s="98"/>
      <c r="Q33" s="144"/>
      <c r="R33" s="96"/>
      <c r="S33" s="100"/>
      <c r="T33" s="100"/>
      <c r="U33" s="101"/>
    </row>
    <row r="34" spans="1:21" x14ac:dyDescent="0.3">
      <c r="A34" s="102"/>
      <c r="B34" s="103"/>
      <c r="C34" s="104"/>
      <c r="D34" s="104" t="str">
        <f t="shared" ref="D34" si="117">_xlfn.IFS(AND(Q34&gt;6,Q34&lt;=36),E34*T34/S34,Q34&lt;=6,E34,Q34=" "," ",Q34&gt;36,"ERRO")</f>
        <v xml:space="preserve"> </v>
      </c>
      <c r="E34" s="104" t="e">
        <f t="shared" ref="E34" si="118">IF(COUNT(K34:P34)&lt;2,I34,G34)</f>
        <v>#DIV/0!</v>
      </c>
      <c r="F34" s="105" t="e">
        <f t="shared" ref="F34" si="119">IF(COUNT(K34:P34)&lt;3*AND(E34=I34),$I$4,IF(E34=G34,$G$4,IF(E34=H34,$H$4,IF(E34=J34,$J$4,"Outro"))))</f>
        <v>#DIV/0!</v>
      </c>
      <c r="G34" s="106" t="e">
        <f t="shared" ref="G34" si="120">AVERAGEIFS(K34:P34,K34:P34,"&lt;="&amp;(AVERAGE(K34:P34)+_xlfn.STDEV.S(K34:P34)),K34:P34,"&gt;="&amp;(AVERAGE(K34:P34)-_xlfn.STDEV.S(K34:P34)))</f>
        <v>#DIV/0!</v>
      </c>
      <c r="H34" s="106" t="e">
        <f t="shared" ref="H34" si="121">SMALL(K34:P34,1)</f>
        <v>#NUM!</v>
      </c>
      <c r="I34" s="106" t="e">
        <f t="shared" ref="I34" si="122">AVERAGE(K34:P34)</f>
        <v>#DIV/0!</v>
      </c>
      <c r="J34" s="106" t="e">
        <f t="shared" ref="J34" si="123">MEDIAN(K34:P34)</f>
        <v>#NUM!</v>
      </c>
      <c r="K34" s="104"/>
      <c r="L34" s="104"/>
      <c r="M34" s="104"/>
      <c r="N34" s="107"/>
      <c r="O34" s="107"/>
      <c r="P34" s="107"/>
      <c r="Q34" s="145" t="str">
        <f t="shared" ref="Q34" si="124">IF(ISBLANK(A34)," ",ROUND(($B$2-A34)/30.44,0))</f>
        <v xml:space="preserve"> </v>
      </c>
      <c r="R34" s="102" t="e">
        <f t="shared" ref="R34" si="125">EDATE(A34,-1)</f>
        <v>#NUM!</v>
      </c>
      <c r="S34" s="108" t="e">
        <f>VLOOKUP(R34,IPCA!$D:$E,2,FALSE)</f>
        <v>#NUM!</v>
      </c>
      <c r="T34" s="108">
        <f>VLOOKUP($B$2,IPCA!$C:$E,3,FALSE)</f>
        <v>7331.98</v>
      </c>
      <c r="U34" s="109"/>
    </row>
    <row r="35" spans="1:21" x14ac:dyDescent="0.3">
      <c r="A35" s="96"/>
      <c r="B35" s="97"/>
      <c r="C35" s="98"/>
      <c r="D35" s="98"/>
      <c r="E35" s="98"/>
      <c r="F35" s="99"/>
      <c r="G35" s="99"/>
      <c r="H35" s="99"/>
      <c r="I35" s="99"/>
      <c r="J35" s="99"/>
      <c r="K35" s="98"/>
      <c r="L35" s="98"/>
      <c r="M35" s="98"/>
      <c r="N35" s="98"/>
      <c r="O35" s="98"/>
      <c r="P35" s="98"/>
      <c r="Q35" s="144"/>
      <c r="R35" s="96"/>
      <c r="S35" s="100"/>
      <c r="T35" s="100"/>
      <c r="U35" s="101"/>
    </row>
    <row r="36" spans="1:21" x14ac:dyDescent="0.3">
      <c r="A36" s="102"/>
      <c r="B36" s="103"/>
      <c r="C36" s="104"/>
      <c r="D36" s="104" t="str">
        <f t="shared" ref="D36" si="126">_xlfn.IFS(AND(Q36&gt;6,Q36&lt;=36),E36*T36/S36,Q36&lt;=6,E36,Q36=" "," ",Q36&gt;36,"ERRO")</f>
        <v xml:space="preserve"> </v>
      </c>
      <c r="E36" s="104" t="e">
        <f t="shared" ref="E36" si="127">IF(COUNT(K36:P36)&lt;2,I36,G36)</f>
        <v>#DIV/0!</v>
      </c>
      <c r="F36" s="105" t="e">
        <f t="shared" ref="F36" si="128">IF(COUNT(K36:P36)&lt;3*AND(E36=I36),$I$4,IF(E36=G36,$G$4,IF(E36=H36,$H$4,IF(E36=J36,$J$4,"Outro"))))</f>
        <v>#DIV/0!</v>
      </c>
      <c r="G36" s="106" t="e">
        <f t="shared" ref="G36" si="129">AVERAGEIFS(K36:P36,K36:P36,"&lt;="&amp;(AVERAGE(K36:P36)+_xlfn.STDEV.S(K36:P36)),K36:P36,"&gt;="&amp;(AVERAGE(K36:P36)-_xlfn.STDEV.S(K36:P36)))</f>
        <v>#DIV/0!</v>
      </c>
      <c r="H36" s="106" t="e">
        <f t="shared" ref="H36" si="130">SMALL(K36:P36,1)</f>
        <v>#NUM!</v>
      </c>
      <c r="I36" s="106" t="e">
        <f t="shared" ref="I36" si="131">AVERAGE(K36:P36)</f>
        <v>#DIV/0!</v>
      </c>
      <c r="J36" s="106" t="e">
        <f t="shared" ref="J36" si="132">MEDIAN(K36:P36)</f>
        <v>#NUM!</v>
      </c>
      <c r="K36" s="104"/>
      <c r="L36" s="104"/>
      <c r="M36" s="104"/>
      <c r="N36" s="107"/>
      <c r="O36" s="107"/>
      <c r="P36" s="107"/>
      <c r="Q36" s="145" t="str">
        <f t="shared" ref="Q36" si="133">IF(ISBLANK(A36)," ",ROUND(($B$2-A36)/30.44,0))</f>
        <v xml:space="preserve"> </v>
      </c>
      <c r="R36" s="102" t="e">
        <f t="shared" ref="R36" si="134">EDATE(A36,-1)</f>
        <v>#NUM!</v>
      </c>
      <c r="S36" s="108" t="e">
        <f>VLOOKUP(R36,IPCA!$D:$E,2,FALSE)</f>
        <v>#NUM!</v>
      </c>
      <c r="T36" s="108">
        <f>VLOOKUP($B$2,IPCA!$C:$E,3,FALSE)</f>
        <v>7331.98</v>
      </c>
      <c r="U36" s="109"/>
    </row>
    <row r="37" spans="1:21" x14ac:dyDescent="0.3">
      <c r="A37" s="96"/>
      <c r="B37" s="97"/>
      <c r="C37" s="98"/>
      <c r="D37" s="98"/>
      <c r="E37" s="98"/>
      <c r="F37" s="99"/>
      <c r="G37" s="99"/>
      <c r="H37" s="99"/>
      <c r="I37" s="99"/>
      <c r="J37" s="99"/>
      <c r="K37" s="98"/>
      <c r="L37" s="98"/>
      <c r="M37" s="98"/>
      <c r="N37" s="98"/>
      <c r="O37" s="98"/>
      <c r="P37" s="98"/>
      <c r="Q37" s="144"/>
      <c r="R37" s="96"/>
      <c r="S37" s="100"/>
      <c r="T37" s="100"/>
      <c r="U37" s="101"/>
    </row>
    <row r="38" spans="1:21" x14ac:dyDescent="0.3">
      <c r="A38" s="102"/>
      <c r="B38" s="103"/>
      <c r="C38" s="104"/>
      <c r="D38" s="104" t="str">
        <f t="shared" ref="D38" si="135">_xlfn.IFS(AND(Q38&gt;6,Q38&lt;=36),E38*T38/S38,Q38&lt;=6,E38,Q38=" "," ",Q38&gt;36,"ERRO")</f>
        <v xml:space="preserve"> </v>
      </c>
      <c r="E38" s="104" t="e">
        <f t="shared" ref="E38" si="136">IF(COUNT(K38:P38)&lt;2,I38,G38)</f>
        <v>#DIV/0!</v>
      </c>
      <c r="F38" s="105" t="e">
        <f t="shared" ref="F38" si="137">IF(COUNT(K38:P38)&lt;3*AND(E38=I38),$I$4,IF(E38=G38,$G$4,IF(E38=H38,$H$4,IF(E38=J38,$J$4,"Outro"))))</f>
        <v>#DIV/0!</v>
      </c>
      <c r="G38" s="106" t="e">
        <f t="shared" ref="G38" si="138">AVERAGEIFS(K38:P38,K38:P38,"&lt;="&amp;(AVERAGE(K38:P38)+_xlfn.STDEV.S(K38:P38)),K38:P38,"&gt;="&amp;(AVERAGE(K38:P38)-_xlfn.STDEV.S(K38:P38)))</f>
        <v>#DIV/0!</v>
      </c>
      <c r="H38" s="106" t="e">
        <f t="shared" ref="H38" si="139">SMALL(K38:P38,1)</f>
        <v>#NUM!</v>
      </c>
      <c r="I38" s="106" t="e">
        <f t="shared" ref="I38" si="140">AVERAGE(K38:P38)</f>
        <v>#DIV/0!</v>
      </c>
      <c r="J38" s="106" t="e">
        <f t="shared" ref="J38" si="141">MEDIAN(K38:P38)</f>
        <v>#NUM!</v>
      </c>
      <c r="K38" s="104"/>
      <c r="L38" s="104"/>
      <c r="M38" s="104"/>
      <c r="N38" s="107"/>
      <c r="O38" s="107"/>
      <c r="P38" s="107"/>
      <c r="Q38" s="145" t="str">
        <f t="shared" ref="Q38" si="142">IF(ISBLANK(A38)," ",ROUND(($B$2-A38)/30.44,0))</f>
        <v xml:space="preserve"> </v>
      </c>
      <c r="R38" s="102" t="e">
        <f t="shared" ref="R38" si="143">EDATE(A38,-1)</f>
        <v>#NUM!</v>
      </c>
      <c r="S38" s="108" t="e">
        <f>VLOOKUP(R38,IPCA!$D:$E,2,FALSE)</f>
        <v>#NUM!</v>
      </c>
      <c r="T38" s="108">
        <f>VLOOKUP($B$2,IPCA!$C:$E,3,FALSE)</f>
        <v>7331.98</v>
      </c>
      <c r="U38" s="109"/>
    </row>
    <row r="39" spans="1:21" x14ac:dyDescent="0.3">
      <c r="A39" s="96"/>
      <c r="B39" s="97"/>
      <c r="C39" s="98"/>
      <c r="D39" s="98"/>
      <c r="E39" s="98"/>
      <c r="F39" s="99"/>
      <c r="G39" s="99"/>
      <c r="H39" s="99"/>
      <c r="I39" s="99"/>
      <c r="J39" s="99"/>
      <c r="K39" s="98"/>
      <c r="L39" s="98"/>
      <c r="M39" s="98"/>
      <c r="N39" s="98"/>
      <c r="O39" s="98"/>
      <c r="P39" s="98"/>
      <c r="Q39" s="144"/>
      <c r="R39" s="96"/>
      <c r="S39" s="100"/>
      <c r="T39" s="100"/>
      <c r="U39" s="101"/>
    </row>
    <row r="40" spans="1:21" x14ac:dyDescent="0.3">
      <c r="A40" s="102"/>
      <c r="B40" s="103"/>
      <c r="C40" s="104"/>
      <c r="D40" s="104" t="str">
        <f t="shared" ref="D40" si="144">_xlfn.IFS(AND(Q40&gt;6,Q40&lt;=36),E40*T40/S40,Q40&lt;=6,E40,Q40=" "," ",Q40&gt;36,"ERRO")</f>
        <v xml:space="preserve"> </v>
      </c>
      <c r="E40" s="104" t="e">
        <f t="shared" ref="E40" si="145">IF(COUNT(K40:P40)&lt;2,I40,G40)</f>
        <v>#DIV/0!</v>
      </c>
      <c r="F40" s="105" t="e">
        <f t="shared" ref="F40" si="146">IF(COUNT(K40:P40)&lt;3*AND(E40=I40),$I$4,IF(E40=G40,$G$4,IF(E40=H40,$H$4,IF(E40=J40,$J$4,"Outro"))))</f>
        <v>#DIV/0!</v>
      </c>
      <c r="G40" s="106" t="e">
        <f t="shared" ref="G40" si="147">AVERAGEIFS(K40:P40,K40:P40,"&lt;="&amp;(AVERAGE(K40:P40)+_xlfn.STDEV.S(K40:P40)),K40:P40,"&gt;="&amp;(AVERAGE(K40:P40)-_xlfn.STDEV.S(K40:P40)))</f>
        <v>#DIV/0!</v>
      </c>
      <c r="H40" s="106" t="e">
        <f t="shared" ref="H40" si="148">SMALL(K40:P40,1)</f>
        <v>#NUM!</v>
      </c>
      <c r="I40" s="106" t="e">
        <f t="shared" ref="I40" si="149">AVERAGE(K40:P40)</f>
        <v>#DIV/0!</v>
      </c>
      <c r="J40" s="106" t="e">
        <f t="shared" ref="J40" si="150">MEDIAN(K40:P40)</f>
        <v>#NUM!</v>
      </c>
      <c r="K40" s="104"/>
      <c r="L40" s="104"/>
      <c r="M40" s="104"/>
      <c r="N40" s="107"/>
      <c r="O40" s="107"/>
      <c r="P40" s="107"/>
      <c r="Q40" s="145" t="str">
        <f t="shared" ref="Q40" si="151">IF(ISBLANK(A40)," ",ROUND(($B$2-A40)/30.44,0))</f>
        <v xml:space="preserve"> </v>
      </c>
      <c r="R40" s="102" t="e">
        <f t="shared" ref="R40" si="152">EDATE(A40,-1)</f>
        <v>#NUM!</v>
      </c>
      <c r="S40" s="108" t="e">
        <f>VLOOKUP(R40,IPCA!$D:$E,2,FALSE)</f>
        <v>#NUM!</v>
      </c>
      <c r="T40" s="108">
        <f>VLOOKUP($B$2,IPCA!$C:$E,3,FALSE)</f>
        <v>7331.98</v>
      </c>
      <c r="U40" s="109"/>
    </row>
    <row r="41" spans="1:21" x14ac:dyDescent="0.3">
      <c r="A41" s="96"/>
      <c r="B41" s="97"/>
      <c r="C41" s="98"/>
      <c r="D41" s="98"/>
      <c r="E41" s="98"/>
      <c r="F41" s="99"/>
      <c r="G41" s="99"/>
      <c r="H41" s="99"/>
      <c r="I41" s="99"/>
      <c r="J41" s="99"/>
      <c r="K41" s="98"/>
      <c r="L41" s="98"/>
      <c r="M41" s="98"/>
      <c r="N41" s="98"/>
      <c r="O41" s="98"/>
      <c r="P41" s="98"/>
      <c r="Q41" s="144"/>
      <c r="R41" s="96"/>
      <c r="S41" s="100"/>
      <c r="T41" s="100"/>
      <c r="U41" s="101"/>
    </row>
    <row r="42" spans="1:21" x14ac:dyDescent="0.3">
      <c r="A42" s="102"/>
      <c r="B42" s="103"/>
      <c r="C42" s="104"/>
      <c r="D42" s="104" t="str">
        <f t="shared" ref="D42" si="153">_xlfn.IFS(AND(Q42&gt;6,Q42&lt;=36),E42*T42/S42,Q42&lt;=6,E42,Q42=" "," ",Q42&gt;36,"ERRO")</f>
        <v xml:space="preserve"> </v>
      </c>
      <c r="E42" s="104" t="e">
        <f t="shared" ref="E42" si="154">IF(COUNT(K42:P42)&lt;2,I42,G42)</f>
        <v>#DIV/0!</v>
      </c>
      <c r="F42" s="105" t="e">
        <f t="shared" ref="F42" si="155">IF(COUNT(K42:P42)&lt;3*AND(E42=I42),$I$4,IF(E42=G42,$G$4,IF(E42=H42,$H$4,IF(E42=J42,$J$4,"Outro"))))</f>
        <v>#DIV/0!</v>
      </c>
      <c r="G42" s="106" t="e">
        <f t="shared" ref="G42" si="156">AVERAGEIFS(K42:P42,K42:P42,"&lt;="&amp;(AVERAGE(K42:P42)+_xlfn.STDEV.S(K42:P42)),K42:P42,"&gt;="&amp;(AVERAGE(K42:P42)-_xlfn.STDEV.S(K42:P42)))</f>
        <v>#DIV/0!</v>
      </c>
      <c r="H42" s="106" t="e">
        <f t="shared" ref="H42" si="157">SMALL(K42:P42,1)</f>
        <v>#NUM!</v>
      </c>
      <c r="I42" s="106" t="e">
        <f t="shared" ref="I42" si="158">AVERAGE(K42:P42)</f>
        <v>#DIV/0!</v>
      </c>
      <c r="J42" s="106" t="e">
        <f t="shared" ref="J42" si="159">MEDIAN(K42:P42)</f>
        <v>#NUM!</v>
      </c>
      <c r="K42" s="104"/>
      <c r="L42" s="104"/>
      <c r="M42" s="104"/>
      <c r="N42" s="107"/>
      <c r="O42" s="107"/>
      <c r="P42" s="107"/>
      <c r="Q42" s="145" t="str">
        <f t="shared" ref="Q42" si="160">IF(ISBLANK(A42)," ",ROUND(($B$2-A42)/30.44,0))</f>
        <v xml:space="preserve"> </v>
      </c>
      <c r="R42" s="102" t="e">
        <f t="shared" ref="R42" si="161">EDATE(A42,-1)</f>
        <v>#NUM!</v>
      </c>
      <c r="S42" s="108" t="e">
        <f>VLOOKUP(R42,IPCA!$D:$E,2,FALSE)</f>
        <v>#NUM!</v>
      </c>
      <c r="T42" s="108">
        <f>VLOOKUP($B$2,IPCA!$C:$E,3,FALSE)</f>
        <v>7331.98</v>
      </c>
      <c r="U42" s="109"/>
    </row>
    <row r="43" spans="1:21" x14ac:dyDescent="0.3">
      <c r="A43" s="96"/>
      <c r="B43" s="97"/>
      <c r="C43" s="98"/>
      <c r="D43" s="98"/>
      <c r="E43" s="98"/>
      <c r="F43" s="99"/>
      <c r="G43" s="99"/>
      <c r="H43" s="99"/>
      <c r="I43" s="99"/>
      <c r="J43" s="99"/>
      <c r="K43" s="98"/>
      <c r="L43" s="98"/>
      <c r="M43" s="98"/>
      <c r="N43" s="98"/>
      <c r="O43" s="98"/>
      <c r="P43" s="98"/>
      <c r="Q43" s="144"/>
      <c r="R43" s="96"/>
      <c r="S43" s="100"/>
      <c r="T43" s="100"/>
      <c r="U43" s="101"/>
    </row>
    <row r="44" spans="1:21" x14ac:dyDescent="0.3">
      <c r="A44" s="102"/>
      <c r="B44" s="103"/>
      <c r="C44" s="104"/>
      <c r="D44" s="104" t="str">
        <f t="shared" ref="D44" si="162">_xlfn.IFS(AND(Q44&gt;6,Q44&lt;=36),E44*T44/S44,Q44&lt;=6,E44,Q44=" "," ",Q44&gt;36,"ERRO")</f>
        <v xml:space="preserve"> </v>
      </c>
      <c r="E44" s="104" t="e">
        <f t="shared" ref="E44" si="163">IF(COUNT(K44:P44)&lt;2,I44,G44)</f>
        <v>#DIV/0!</v>
      </c>
      <c r="F44" s="105" t="e">
        <f t="shared" ref="F44" si="164">IF(COUNT(K44:P44)&lt;3*AND(E44=I44),$I$4,IF(E44=G44,$G$4,IF(E44=H44,$H$4,IF(E44=J44,$J$4,"Outro"))))</f>
        <v>#DIV/0!</v>
      </c>
      <c r="G44" s="106" t="e">
        <f t="shared" ref="G44" si="165">AVERAGEIFS(K44:P44,K44:P44,"&lt;="&amp;(AVERAGE(K44:P44)+_xlfn.STDEV.S(K44:P44)),K44:P44,"&gt;="&amp;(AVERAGE(K44:P44)-_xlfn.STDEV.S(K44:P44)))</f>
        <v>#DIV/0!</v>
      </c>
      <c r="H44" s="106" t="e">
        <f t="shared" ref="H44" si="166">SMALL(K44:P44,1)</f>
        <v>#NUM!</v>
      </c>
      <c r="I44" s="106" t="e">
        <f t="shared" ref="I44" si="167">AVERAGE(K44:P44)</f>
        <v>#DIV/0!</v>
      </c>
      <c r="J44" s="106" t="e">
        <f t="shared" ref="J44" si="168">MEDIAN(K44:P44)</f>
        <v>#NUM!</v>
      </c>
      <c r="K44" s="104"/>
      <c r="L44" s="104"/>
      <c r="M44" s="104"/>
      <c r="N44" s="107"/>
      <c r="O44" s="107"/>
      <c r="P44" s="107"/>
      <c r="Q44" s="145" t="str">
        <f t="shared" ref="Q44" si="169">IF(ISBLANK(A44)," ",ROUND(($B$2-A44)/30.44,0))</f>
        <v xml:space="preserve"> </v>
      </c>
      <c r="R44" s="102" t="e">
        <f t="shared" ref="R44" si="170">EDATE(A44,-1)</f>
        <v>#NUM!</v>
      </c>
      <c r="S44" s="108" t="e">
        <f>VLOOKUP(R44,IPCA!$D:$E,2,FALSE)</f>
        <v>#NUM!</v>
      </c>
      <c r="T44" s="108">
        <f>VLOOKUP($B$2,IPCA!$C:$E,3,FALSE)</f>
        <v>7331.98</v>
      </c>
      <c r="U44" s="109"/>
    </row>
    <row r="45" spans="1:21" x14ac:dyDescent="0.3">
      <c r="A45" s="96"/>
      <c r="B45" s="97"/>
      <c r="C45" s="98"/>
      <c r="D45" s="98"/>
      <c r="E45" s="98"/>
      <c r="F45" s="99"/>
      <c r="G45" s="99"/>
      <c r="H45" s="99"/>
      <c r="I45" s="99"/>
      <c r="J45" s="99"/>
      <c r="K45" s="98"/>
      <c r="L45" s="98"/>
      <c r="M45" s="98"/>
      <c r="N45" s="98"/>
      <c r="O45" s="98"/>
      <c r="P45" s="98"/>
      <c r="Q45" s="144"/>
      <c r="R45" s="96"/>
      <c r="S45" s="100"/>
      <c r="T45" s="100"/>
      <c r="U45" s="101"/>
    </row>
    <row r="46" spans="1:21" x14ac:dyDescent="0.3">
      <c r="A46" s="102"/>
      <c r="B46" s="103"/>
      <c r="C46" s="104"/>
      <c r="D46" s="104" t="str">
        <f t="shared" ref="D46" si="171">_xlfn.IFS(AND(Q46&gt;6,Q46&lt;=36),E46*T46/S46,Q46&lt;=6,E46,Q46=" "," ",Q46&gt;36,"ERRO")</f>
        <v xml:space="preserve"> </v>
      </c>
      <c r="E46" s="104" t="e">
        <f t="shared" ref="E46" si="172">IF(COUNT(K46:P46)&lt;2,I46,G46)</f>
        <v>#DIV/0!</v>
      </c>
      <c r="F46" s="105" t="e">
        <f t="shared" ref="F46" si="173">IF(COUNT(K46:P46)&lt;3*AND(E46=I46),$I$4,IF(E46=G46,$G$4,IF(E46=H46,$H$4,IF(E46=J46,$J$4,"Outro"))))</f>
        <v>#DIV/0!</v>
      </c>
      <c r="G46" s="106" t="e">
        <f t="shared" ref="G46" si="174">AVERAGEIFS(K46:P46,K46:P46,"&lt;="&amp;(AVERAGE(K46:P46)+_xlfn.STDEV.S(K46:P46)),K46:P46,"&gt;="&amp;(AVERAGE(K46:P46)-_xlfn.STDEV.S(K46:P46)))</f>
        <v>#DIV/0!</v>
      </c>
      <c r="H46" s="106" t="e">
        <f t="shared" ref="H46" si="175">SMALL(K46:P46,1)</f>
        <v>#NUM!</v>
      </c>
      <c r="I46" s="106" t="e">
        <f t="shared" ref="I46" si="176">AVERAGE(K46:P46)</f>
        <v>#DIV/0!</v>
      </c>
      <c r="J46" s="106" t="e">
        <f t="shared" ref="J46" si="177">MEDIAN(K46:P46)</f>
        <v>#NUM!</v>
      </c>
      <c r="K46" s="104"/>
      <c r="L46" s="104"/>
      <c r="M46" s="104"/>
      <c r="N46" s="107"/>
      <c r="O46" s="107"/>
      <c r="P46" s="107"/>
      <c r="Q46" s="145" t="str">
        <f t="shared" ref="Q46" si="178">IF(ISBLANK(A46)," ",ROUND(($B$2-A46)/30.44,0))</f>
        <v xml:space="preserve"> </v>
      </c>
      <c r="R46" s="102" t="e">
        <f t="shared" ref="R46" si="179">EDATE(A46,-1)</f>
        <v>#NUM!</v>
      </c>
      <c r="S46" s="108" t="e">
        <f>VLOOKUP(R46,IPCA!$D:$E,2,FALSE)</f>
        <v>#NUM!</v>
      </c>
      <c r="T46" s="108">
        <f>VLOOKUP($B$2,IPCA!$C:$E,3,FALSE)</f>
        <v>7331.98</v>
      </c>
      <c r="U46" s="109"/>
    </row>
    <row r="47" spans="1:21" x14ac:dyDescent="0.3">
      <c r="A47" s="96"/>
      <c r="B47" s="97"/>
      <c r="C47" s="98"/>
      <c r="D47" s="98"/>
      <c r="E47" s="98"/>
      <c r="F47" s="99"/>
      <c r="G47" s="99"/>
      <c r="H47" s="99"/>
      <c r="I47" s="99"/>
      <c r="J47" s="99"/>
      <c r="K47" s="98"/>
      <c r="L47" s="98"/>
      <c r="M47" s="98"/>
      <c r="N47" s="98"/>
      <c r="O47" s="98"/>
      <c r="P47" s="98"/>
      <c r="Q47" s="144"/>
      <c r="R47" s="96"/>
      <c r="S47" s="100"/>
      <c r="T47" s="100"/>
      <c r="U47" s="101"/>
    </row>
    <row r="48" spans="1:21" x14ac:dyDescent="0.3">
      <c r="A48" s="102"/>
      <c r="B48" s="103"/>
      <c r="C48" s="104"/>
      <c r="D48" s="104" t="str">
        <f t="shared" ref="D48" si="180">_xlfn.IFS(AND(Q48&gt;6,Q48&lt;=36),E48*T48/S48,Q48&lt;=6,E48,Q48=" "," ",Q48&gt;36,"ERRO")</f>
        <v xml:space="preserve"> </v>
      </c>
      <c r="E48" s="104" t="e">
        <f t="shared" ref="E48" si="181">IF(COUNT(K48:P48)&lt;2,I48,G48)</f>
        <v>#DIV/0!</v>
      </c>
      <c r="F48" s="105" t="e">
        <f t="shared" ref="F48" si="182">IF(COUNT(K48:P48)&lt;3*AND(E48=I48),$I$4,IF(E48=G48,$G$4,IF(E48=H48,$H$4,IF(E48=J48,$J$4,"Outro"))))</f>
        <v>#DIV/0!</v>
      </c>
      <c r="G48" s="106" t="e">
        <f t="shared" ref="G48" si="183">AVERAGEIFS(K48:P48,K48:P48,"&lt;="&amp;(AVERAGE(K48:P48)+_xlfn.STDEV.S(K48:P48)),K48:P48,"&gt;="&amp;(AVERAGE(K48:P48)-_xlfn.STDEV.S(K48:P48)))</f>
        <v>#DIV/0!</v>
      </c>
      <c r="H48" s="106" t="e">
        <f t="shared" ref="H48" si="184">SMALL(K48:P48,1)</f>
        <v>#NUM!</v>
      </c>
      <c r="I48" s="106" t="e">
        <f t="shared" ref="I48" si="185">AVERAGE(K48:P48)</f>
        <v>#DIV/0!</v>
      </c>
      <c r="J48" s="106" t="e">
        <f t="shared" ref="J48" si="186">MEDIAN(K48:P48)</f>
        <v>#NUM!</v>
      </c>
      <c r="K48" s="104"/>
      <c r="L48" s="104"/>
      <c r="M48" s="104"/>
      <c r="N48" s="107"/>
      <c r="O48" s="107"/>
      <c r="P48" s="107"/>
      <c r="Q48" s="145" t="str">
        <f t="shared" ref="Q48" si="187">IF(ISBLANK(A48)," ",ROUND(($B$2-A48)/30.44,0))</f>
        <v xml:space="preserve"> </v>
      </c>
      <c r="R48" s="102" t="e">
        <f t="shared" ref="R48" si="188">EDATE(A48,-1)</f>
        <v>#NUM!</v>
      </c>
      <c r="S48" s="108" t="e">
        <f>VLOOKUP(R48,IPCA!$D:$E,2,FALSE)</f>
        <v>#NUM!</v>
      </c>
      <c r="T48" s="108">
        <f>VLOOKUP($B$2,IPCA!$C:$E,3,FALSE)</f>
        <v>7331.98</v>
      </c>
      <c r="U48" s="109"/>
    </row>
    <row r="49" spans="1:21" x14ac:dyDescent="0.3">
      <c r="A49" s="96"/>
      <c r="B49" s="97"/>
      <c r="C49" s="98"/>
      <c r="D49" s="98"/>
      <c r="E49" s="98"/>
      <c r="F49" s="99"/>
      <c r="G49" s="99"/>
      <c r="H49" s="99"/>
      <c r="I49" s="99"/>
      <c r="J49" s="99"/>
      <c r="K49" s="98"/>
      <c r="L49" s="98"/>
      <c r="M49" s="98"/>
      <c r="N49" s="98"/>
      <c r="O49" s="98"/>
      <c r="P49" s="98"/>
      <c r="Q49" s="144"/>
      <c r="R49" s="96"/>
      <c r="S49" s="100"/>
      <c r="T49" s="100"/>
      <c r="U49" s="101"/>
    </row>
    <row r="50" spans="1:21" x14ac:dyDescent="0.3">
      <c r="A50" s="102"/>
      <c r="B50" s="103"/>
      <c r="C50" s="104"/>
      <c r="D50" s="104" t="str">
        <f t="shared" ref="D50" si="189">_xlfn.IFS(AND(Q50&gt;6,Q50&lt;=36),E50*T50/S50,Q50&lt;=6,E50,Q50=" "," ",Q50&gt;36,"ERRO")</f>
        <v xml:space="preserve"> </v>
      </c>
      <c r="E50" s="104" t="e">
        <f t="shared" ref="E50" si="190">IF(COUNT(K50:P50)&lt;2,I50,G50)</f>
        <v>#DIV/0!</v>
      </c>
      <c r="F50" s="105" t="e">
        <f t="shared" ref="F50" si="191">IF(COUNT(K50:P50)&lt;3*AND(E50=I50),$I$4,IF(E50=G50,$G$4,IF(E50=H50,$H$4,IF(E50=J50,$J$4,"Outro"))))</f>
        <v>#DIV/0!</v>
      </c>
      <c r="G50" s="106" t="e">
        <f t="shared" ref="G50" si="192">AVERAGEIFS(K50:P50,K50:P50,"&lt;="&amp;(AVERAGE(K50:P50)+_xlfn.STDEV.S(K50:P50)),K50:P50,"&gt;="&amp;(AVERAGE(K50:P50)-_xlfn.STDEV.S(K50:P50)))</f>
        <v>#DIV/0!</v>
      </c>
      <c r="H50" s="106" t="e">
        <f t="shared" ref="H50" si="193">SMALL(K50:P50,1)</f>
        <v>#NUM!</v>
      </c>
      <c r="I50" s="106" t="e">
        <f t="shared" ref="I50" si="194">AVERAGE(K50:P50)</f>
        <v>#DIV/0!</v>
      </c>
      <c r="J50" s="106" t="e">
        <f t="shared" ref="J50" si="195">MEDIAN(K50:P50)</f>
        <v>#NUM!</v>
      </c>
      <c r="K50" s="104"/>
      <c r="L50" s="104"/>
      <c r="M50" s="104"/>
      <c r="N50" s="107"/>
      <c r="O50" s="107"/>
      <c r="P50" s="107"/>
      <c r="Q50" s="145" t="str">
        <f t="shared" ref="Q50" si="196">IF(ISBLANK(A50)," ",ROUND(($B$2-A50)/30.44,0))</f>
        <v xml:space="preserve"> </v>
      </c>
      <c r="R50" s="102" t="e">
        <f t="shared" ref="R50" si="197">EDATE(A50,-1)</f>
        <v>#NUM!</v>
      </c>
      <c r="S50" s="108" t="e">
        <f>VLOOKUP(R50,IPCA!$D:$E,2,FALSE)</f>
        <v>#NUM!</v>
      </c>
      <c r="T50" s="108">
        <f>VLOOKUP($B$2,IPCA!$C:$E,3,FALSE)</f>
        <v>7331.98</v>
      </c>
      <c r="U50" s="109"/>
    </row>
    <row r="51" spans="1:21" x14ac:dyDescent="0.3">
      <c r="A51" s="96"/>
      <c r="B51" s="97"/>
      <c r="C51" s="98"/>
      <c r="D51" s="98"/>
      <c r="E51" s="98"/>
      <c r="F51" s="99"/>
      <c r="G51" s="99"/>
      <c r="H51" s="99"/>
      <c r="I51" s="99"/>
      <c r="J51" s="99"/>
      <c r="K51" s="98"/>
      <c r="L51" s="98"/>
      <c r="M51" s="98"/>
      <c r="N51" s="98"/>
      <c r="O51" s="98"/>
      <c r="P51" s="98"/>
      <c r="Q51" s="144"/>
      <c r="R51" s="96"/>
      <c r="S51" s="100"/>
      <c r="T51" s="100"/>
      <c r="U51" s="101"/>
    </row>
    <row r="52" spans="1:21" x14ac:dyDescent="0.3">
      <c r="A52" s="102"/>
      <c r="B52" s="103"/>
      <c r="C52" s="104"/>
      <c r="D52" s="104" t="str">
        <f t="shared" ref="D52" si="198">_xlfn.IFS(AND(Q52&gt;6,Q52&lt;=36),E52*T52/S52,Q52&lt;=6,E52,Q52=" "," ",Q52&gt;36,"ERRO")</f>
        <v xml:space="preserve"> </v>
      </c>
      <c r="E52" s="104" t="e">
        <f t="shared" ref="E52" si="199">IF(COUNT(K52:P52)&lt;2,I52,G52)</f>
        <v>#DIV/0!</v>
      </c>
      <c r="F52" s="105" t="e">
        <f t="shared" ref="F52" si="200">IF(COUNT(K52:P52)&lt;3*AND(E52=I52),$I$4,IF(E52=G52,$G$4,IF(E52=H52,$H$4,IF(E52=J52,$J$4,"Outro"))))</f>
        <v>#DIV/0!</v>
      </c>
      <c r="G52" s="106" t="e">
        <f t="shared" ref="G52" si="201">AVERAGEIFS(K52:P52,K52:P52,"&lt;="&amp;(AVERAGE(K52:P52)+_xlfn.STDEV.S(K52:P52)),K52:P52,"&gt;="&amp;(AVERAGE(K52:P52)-_xlfn.STDEV.S(K52:P52)))</f>
        <v>#DIV/0!</v>
      </c>
      <c r="H52" s="106" t="e">
        <f t="shared" ref="H52" si="202">SMALL(K52:P52,1)</f>
        <v>#NUM!</v>
      </c>
      <c r="I52" s="106" t="e">
        <f t="shared" ref="I52" si="203">AVERAGE(K52:P52)</f>
        <v>#DIV/0!</v>
      </c>
      <c r="J52" s="106" t="e">
        <f t="shared" ref="J52" si="204">MEDIAN(K52:P52)</f>
        <v>#NUM!</v>
      </c>
      <c r="K52" s="104"/>
      <c r="L52" s="104"/>
      <c r="M52" s="104"/>
      <c r="N52" s="107"/>
      <c r="O52" s="107"/>
      <c r="P52" s="107"/>
      <c r="Q52" s="145" t="str">
        <f t="shared" ref="Q52" si="205">IF(ISBLANK(A52)," ",ROUND(($B$2-A52)/30.44,0))</f>
        <v xml:space="preserve"> </v>
      </c>
      <c r="R52" s="102" t="e">
        <f t="shared" ref="R52" si="206">EDATE(A52,-1)</f>
        <v>#NUM!</v>
      </c>
      <c r="S52" s="108" t="e">
        <f>VLOOKUP(R52,IPCA!$D:$E,2,FALSE)</f>
        <v>#NUM!</v>
      </c>
      <c r="T52" s="108">
        <f>VLOOKUP($B$2,IPCA!$C:$E,3,FALSE)</f>
        <v>7331.98</v>
      </c>
      <c r="U52" s="109"/>
    </row>
    <row r="53" spans="1:21" x14ac:dyDescent="0.3">
      <c r="A53" s="96"/>
      <c r="B53" s="97"/>
      <c r="C53" s="98"/>
      <c r="D53" s="98"/>
      <c r="E53" s="98"/>
      <c r="F53" s="99"/>
      <c r="G53" s="99"/>
      <c r="H53" s="99"/>
      <c r="I53" s="99"/>
      <c r="J53" s="99"/>
      <c r="K53" s="98"/>
      <c r="L53" s="98"/>
      <c r="M53" s="98"/>
      <c r="N53" s="98"/>
      <c r="O53" s="98"/>
      <c r="P53" s="98"/>
      <c r="Q53" s="144"/>
      <c r="R53" s="96"/>
      <c r="S53" s="100"/>
      <c r="T53" s="100"/>
      <c r="U53" s="101"/>
    </row>
    <row r="54" spans="1:21" x14ac:dyDescent="0.3">
      <c r="A54" s="102"/>
      <c r="B54" s="103"/>
      <c r="C54" s="104"/>
      <c r="D54" s="104" t="str">
        <f t="shared" ref="D54" si="207">_xlfn.IFS(AND(Q54&gt;6,Q54&lt;=36),E54*T54/S54,Q54&lt;=6,E54,Q54=" "," ",Q54&gt;36,"ERRO")</f>
        <v xml:space="preserve"> </v>
      </c>
      <c r="E54" s="104" t="e">
        <f t="shared" ref="E54" si="208">IF(COUNT(K54:P54)&lt;2,I54,G54)</f>
        <v>#DIV/0!</v>
      </c>
      <c r="F54" s="105" t="e">
        <f t="shared" ref="F54" si="209">IF(COUNT(K54:P54)&lt;3*AND(E54=I54),$I$4,IF(E54=G54,$G$4,IF(E54=H54,$H$4,IF(E54=J54,$J$4,"Outro"))))</f>
        <v>#DIV/0!</v>
      </c>
      <c r="G54" s="106" t="e">
        <f t="shared" ref="G54" si="210">AVERAGEIFS(K54:P54,K54:P54,"&lt;="&amp;(AVERAGE(K54:P54)+_xlfn.STDEV.S(K54:P54)),K54:P54,"&gt;="&amp;(AVERAGE(K54:P54)-_xlfn.STDEV.S(K54:P54)))</f>
        <v>#DIV/0!</v>
      </c>
      <c r="H54" s="106" t="e">
        <f t="shared" ref="H54" si="211">SMALL(K54:P54,1)</f>
        <v>#NUM!</v>
      </c>
      <c r="I54" s="106" t="e">
        <f t="shared" ref="I54" si="212">AVERAGE(K54:P54)</f>
        <v>#DIV/0!</v>
      </c>
      <c r="J54" s="106" t="e">
        <f t="shared" ref="J54" si="213">MEDIAN(K54:P54)</f>
        <v>#NUM!</v>
      </c>
      <c r="K54" s="104"/>
      <c r="L54" s="104"/>
      <c r="M54" s="104"/>
      <c r="N54" s="107"/>
      <c r="O54" s="107"/>
      <c r="P54" s="107"/>
      <c r="Q54" s="145" t="str">
        <f t="shared" ref="Q54" si="214">IF(ISBLANK(A54)," ",ROUND(($B$2-A54)/30.44,0))</f>
        <v xml:space="preserve"> </v>
      </c>
      <c r="R54" s="102" t="e">
        <f t="shared" ref="R54" si="215">EDATE(A54,-1)</f>
        <v>#NUM!</v>
      </c>
      <c r="S54" s="108" t="e">
        <f>VLOOKUP(R54,IPCA!$D:$E,2,FALSE)</f>
        <v>#NUM!</v>
      </c>
      <c r="T54" s="108">
        <f>VLOOKUP($B$2,IPCA!$C:$E,3,FALSE)</f>
        <v>7331.98</v>
      </c>
      <c r="U54" s="109"/>
    </row>
    <row r="55" spans="1:21" x14ac:dyDescent="0.3">
      <c r="A55" s="96"/>
      <c r="B55" s="97"/>
      <c r="C55" s="98"/>
      <c r="D55" s="98"/>
      <c r="E55" s="98"/>
      <c r="F55" s="99"/>
      <c r="G55" s="99"/>
      <c r="H55" s="99"/>
      <c r="I55" s="99"/>
      <c r="J55" s="99"/>
      <c r="K55" s="98"/>
      <c r="L55" s="98"/>
      <c r="M55" s="98"/>
      <c r="N55" s="98"/>
      <c r="O55" s="98"/>
      <c r="P55" s="98"/>
      <c r="Q55" s="144"/>
      <c r="R55" s="96"/>
      <c r="S55" s="100"/>
      <c r="T55" s="100"/>
      <c r="U55" s="101"/>
    </row>
    <row r="56" spans="1:21" x14ac:dyDescent="0.3">
      <c r="A56" s="102"/>
      <c r="B56" s="103"/>
      <c r="C56" s="104"/>
      <c r="D56" s="104" t="str">
        <f t="shared" ref="D56" si="216">_xlfn.IFS(AND(Q56&gt;6,Q56&lt;=36),E56*T56/S56,Q56&lt;=6,E56,Q56=" "," ",Q56&gt;36,"ERRO")</f>
        <v xml:space="preserve"> </v>
      </c>
      <c r="E56" s="104" t="e">
        <f t="shared" ref="E56" si="217">IF(COUNT(K56:P56)&lt;2,I56,G56)</f>
        <v>#DIV/0!</v>
      </c>
      <c r="F56" s="105" t="e">
        <f t="shared" ref="F56" si="218">IF(COUNT(K56:P56)&lt;3*AND(E56=I56),$I$4,IF(E56=G56,$G$4,IF(E56=H56,$H$4,IF(E56=J56,$J$4,"Outro"))))</f>
        <v>#DIV/0!</v>
      </c>
      <c r="G56" s="106" t="e">
        <f t="shared" ref="G56" si="219">AVERAGEIFS(K56:P56,K56:P56,"&lt;="&amp;(AVERAGE(K56:P56)+_xlfn.STDEV.S(K56:P56)),K56:P56,"&gt;="&amp;(AVERAGE(K56:P56)-_xlfn.STDEV.S(K56:P56)))</f>
        <v>#DIV/0!</v>
      </c>
      <c r="H56" s="106" t="e">
        <f t="shared" ref="H56" si="220">SMALL(K56:P56,1)</f>
        <v>#NUM!</v>
      </c>
      <c r="I56" s="106" t="e">
        <f t="shared" ref="I56" si="221">AVERAGE(K56:P56)</f>
        <v>#DIV/0!</v>
      </c>
      <c r="J56" s="106" t="e">
        <f t="shared" ref="J56" si="222">MEDIAN(K56:P56)</f>
        <v>#NUM!</v>
      </c>
      <c r="K56" s="104"/>
      <c r="L56" s="104"/>
      <c r="M56" s="104"/>
      <c r="N56" s="107"/>
      <c r="O56" s="107"/>
      <c r="P56" s="107"/>
      <c r="Q56" s="145" t="str">
        <f t="shared" ref="Q56" si="223">IF(ISBLANK(A56)," ",ROUND(($B$2-A56)/30.44,0))</f>
        <v xml:space="preserve"> </v>
      </c>
      <c r="R56" s="102" t="e">
        <f t="shared" ref="R56" si="224">EDATE(A56,-1)</f>
        <v>#NUM!</v>
      </c>
      <c r="S56" s="108" t="e">
        <f>VLOOKUP(R56,IPCA!$D:$E,2,FALSE)</f>
        <v>#NUM!</v>
      </c>
      <c r="T56" s="108">
        <f>VLOOKUP($B$2,IPCA!$C:$E,3,FALSE)</f>
        <v>7331.98</v>
      </c>
      <c r="U56" s="109"/>
    </row>
    <row r="57" spans="1:21" x14ac:dyDescent="0.3">
      <c r="A57" s="96"/>
      <c r="B57" s="97"/>
      <c r="C57" s="98"/>
      <c r="D57" s="98"/>
      <c r="E57" s="98"/>
      <c r="F57" s="99"/>
      <c r="G57" s="99"/>
      <c r="H57" s="99"/>
      <c r="I57" s="99"/>
      <c r="J57" s="99"/>
      <c r="K57" s="98"/>
      <c r="L57" s="98"/>
      <c r="M57" s="98"/>
      <c r="N57" s="98"/>
      <c r="O57" s="98"/>
      <c r="P57" s="98"/>
      <c r="Q57" s="144"/>
      <c r="R57" s="96"/>
      <c r="S57" s="100"/>
      <c r="T57" s="100"/>
      <c r="U57" s="101"/>
    </row>
    <row r="58" spans="1:21" x14ac:dyDescent="0.3">
      <c r="A58" s="102"/>
      <c r="B58" s="103"/>
      <c r="C58" s="104"/>
      <c r="D58" s="104" t="str">
        <f t="shared" ref="D58" si="225">_xlfn.IFS(AND(Q58&gt;6,Q58&lt;=36),E58*T58/S58,Q58&lt;=6,E58,Q58=" "," ",Q58&gt;36,"ERRO")</f>
        <v xml:space="preserve"> </v>
      </c>
      <c r="E58" s="104" t="e">
        <f t="shared" ref="E58" si="226">IF(COUNT(K58:P58)&lt;2,I58,G58)</f>
        <v>#DIV/0!</v>
      </c>
      <c r="F58" s="105" t="e">
        <f t="shared" ref="F58" si="227">IF(COUNT(K58:P58)&lt;3*AND(E58=I58),$I$4,IF(E58=G58,$G$4,IF(E58=H58,$H$4,IF(E58=J58,$J$4,"Outro"))))</f>
        <v>#DIV/0!</v>
      </c>
      <c r="G58" s="106" t="e">
        <f t="shared" ref="G58" si="228">AVERAGEIFS(K58:P58,K58:P58,"&lt;="&amp;(AVERAGE(K58:P58)+_xlfn.STDEV.S(K58:P58)),K58:P58,"&gt;="&amp;(AVERAGE(K58:P58)-_xlfn.STDEV.S(K58:P58)))</f>
        <v>#DIV/0!</v>
      </c>
      <c r="H58" s="106" t="e">
        <f t="shared" ref="H58" si="229">SMALL(K58:P58,1)</f>
        <v>#NUM!</v>
      </c>
      <c r="I58" s="106" t="e">
        <f t="shared" ref="I58" si="230">AVERAGE(K58:P58)</f>
        <v>#DIV/0!</v>
      </c>
      <c r="J58" s="106" t="e">
        <f t="shared" ref="J58" si="231">MEDIAN(K58:P58)</f>
        <v>#NUM!</v>
      </c>
      <c r="K58" s="104"/>
      <c r="L58" s="104"/>
      <c r="M58" s="104"/>
      <c r="N58" s="107"/>
      <c r="O58" s="107"/>
      <c r="P58" s="107"/>
      <c r="Q58" s="145" t="str">
        <f t="shared" ref="Q58" si="232">IF(ISBLANK(A58)," ",ROUND(($B$2-A58)/30.44,0))</f>
        <v xml:space="preserve"> </v>
      </c>
      <c r="R58" s="102" t="e">
        <f t="shared" ref="R58" si="233">EDATE(A58,-1)</f>
        <v>#NUM!</v>
      </c>
      <c r="S58" s="108" t="e">
        <f>VLOOKUP(R58,IPCA!$D:$E,2,FALSE)</f>
        <v>#NUM!</v>
      </c>
      <c r="T58" s="108">
        <f>VLOOKUP($B$2,IPCA!$C:$E,3,FALSE)</f>
        <v>7331.98</v>
      </c>
      <c r="U58" s="109"/>
    </row>
    <row r="59" spans="1:21" x14ac:dyDescent="0.3">
      <c r="A59" s="96"/>
      <c r="B59" s="97"/>
      <c r="C59" s="98"/>
      <c r="D59" s="98"/>
      <c r="E59" s="98"/>
      <c r="F59" s="99"/>
      <c r="G59" s="99"/>
      <c r="H59" s="99"/>
      <c r="I59" s="99"/>
      <c r="J59" s="99"/>
      <c r="K59" s="98"/>
      <c r="L59" s="98"/>
      <c r="M59" s="98"/>
      <c r="N59" s="98"/>
      <c r="O59" s="98"/>
      <c r="P59" s="98"/>
      <c r="Q59" s="144"/>
      <c r="R59" s="96"/>
      <c r="S59" s="100"/>
      <c r="T59" s="100"/>
      <c r="U59" s="101"/>
    </row>
    <row r="60" spans="1:21" x14ac:dyDescent="0.3">
      <c r="A60" s="102"/>
      <c r="B60" s="103"/>
      <c r="C60" s="104"/>
      <c r="D60" s="104" t="str">
        <f t="shared" ref="D60" si="234">_xlfn.IFS(AND(Q60&gt;6,Q60&lt;=36),E60*T60/S60,Q60&lt;=6,E60,Q60=" "," ",Q60&gt;36,"ERRO")</f>
        <v xml:space="preserve"> </v>
      </c>
      <c r="E60" s="104" t="e">
        <f t="shared" ref="E60" si="235">IF(COUNT(K60:P60)&lt;2,I60,G60)</f>
        <v>#DIV/0!</v>
      </c>
      <c r="F60" s="105" t="e">
        <f t="shared" ref="F60" si="236">IF(COUNT(K60:P60)&lt;3*AND(E60=I60),$I$4,IF(E60=G60,$G$4,IF(E60=H60,$H$4,IF(E60=J60,$J$4,"Outro"))))</f>
        <v>#DIV/0!</v>
      </c>
      <c r="G60" s="106" t="e">
        <f t="shared" ref="G60" si="237">AVERAGEIFS(K60:P60,K60:P60,"&lt;="&amp;(AVERAGE(K60:P60)+_xlfn.STDEV.S(K60:P60)),K60:P60,"&gt;="&amp;(AVERAGE(K60:P60)-_xlfn.STDEV.S(K60:P60)))</f>
        <v>#DIV/0!</v>
      </c>
      <c r="H60" s="106" t="e">
        <f t="shared" ref="H60" si="238">SMALL(K60:P60,1)</f>
        <v>#NUM!</v>
      </c>
      <c r="I60" s="106" t="e">
        <f t="shared" ref="I60" si="239">AVERAGE(K60:P60)</f>
        <v>#DIV/0!</v>
      </c>
      <c r="J60" s="106" t="e">
        <f t="shared" ref="J60" si="240">MEDIAN(K60:P60)</f>
        <v>#NUM!</v>
      </c>
      <c r="K60" s="104"/>
      <c r="L60" s="104"/>
      <c r="M60" s="104"/>
      <c r="N60" s="107"/>
      <c r="O60" s="107"/>
      <c r="P60" s="107"/>
      <c r="Q60" s="145" t="str">
        <f t="shared" ref="Q60" si="241">IF(ISBLANK(A60)," ",ROUND(($B$2-A60)/30.44,0))</f>
        <v xml:space="preserve"> </v>
      </c>
      <c r="R60" s="102" t="e">
        <f t="shared" ref="R60" si="242">EDATE(A60,-1)</f>
        <v>#NUM!</v>
      </c>
      <c r="S60" s="108" t="e">
        <f>VLOOKUP(R60,IPCA!$D:$E,2,FALSE)</f>
        <v>#NUM!</v>
      </c>
      <c r="T60" s="108">
        <f>VLOOKUP($B$2,IPCA!$C:$E,3,FALSE)</f>
        <v>7331.98</v>
      </c>
      <c r="U60" s="109"/>
    </row>
    <row r="61" spans="1:21" x14ac:dyDescent="0.3">
      <c r="A61" s="96"/>
      <c r="B61" s="97"/>
      <c r="C61" s="98"/>
      <c r="D61" s="98"/>
      <c r="E61" s="98"/>
      <c r="F61" s="99"/>
      <c r="G61" s="99"/>
      <c r="H61" s="99"/>
      <c r="I61" s="99"/>
      <c r="J61" s="99"/>
      <c r="K61" s="98"/>
      <c r="L61" s="98"/>
      <c r="M61" s="98"/>
      <c r="N61" s="98"/>
      <c r="O61" s="98"/>
      <c r="P61" s="98"/>
      <c r="Q61" s="144"/>
      <c r="R61" s="96"/>
      <c r="S61" s="100"/>
      <c r="T61" s="100"/>
      <c r="U61" s="101"/>
    </row>
    <row r="62" spans="1:21" x14ac:dyDescent="0.3">
      <c r="A62" s="102"/>
      <c r="B62" s="103"/>
      <c r="C62" s="104"/>
      <c r="D62" s="104" t="str">
        <f t="shared" ref="D62" si="243">_xlfn.IFS(AND(Q62&gt;6,Q62&lt;=36),E62*T62/S62,Q62&lt;=6,E62,Q62=" "," ",Q62&gt;36,"ERRO")</f>
        <v xml:space="preserve"> </v>
      </c>
      <c r="E62" s="104" t="e">
        <f t="shared" ref="E62" si="244">IF(COUNT(K62:P62)&lt;2,I62,G62)</f>
        <v>#DIV/0!</v>
      </c>
      <c r="F62" s="105" t="e">
        <f t="shared" ref="F62" si="245">IF(COUNT(K62:P62)&lt;3*AND(E62=I62),$I$4,IF(E62=G62,$G$4,IF(E62=H62,$H$4,IF(E62=J62,$J$4,"Outro"))))</f>
        <v>#DIV/0!</v>
      </c>
      <c r="G62" s="106" t="e">
        <f t="shared" ref="G62" si="246">AVERAGEIFS(K62:P62,K62:P62,"&lt;="&amp;(AVERAGE(K62:P62)+_xlfn.STDEV.S(K62:P62)),K62:P62,"&gt;="&amp;(AVERAGE(K62:P62)-_xlfn.STDEV.S(K62:P62)))</f>
        <v>#DIV/0!</v>
      </c>
      <c r="H62" s="106" t="e">
        <f t="shared" ref="H62" si="247">SMALL(K62:P62,1)</f>
        <v>#NUM!</v>
      </c>
      <c r="I62" s="106" t="e">
        <f t="shared" ref="I62" si="248">AVERAGE(K62:P62)</f>
        <v>#DIV/0!</v>
      </c>
      <c r="J62" s="106" t="e">
        <f t="shared" ref="J62" si="249">MEDIAN(K62:P62)</f>
        <v>#NUM!</v>
      </c>
      <c r="K62" s="104"/>
      <c r="L62" s="104"/>
      <c r="M62" s="104"/>
      <c r="N62" s="107"/>
      <c r="O62" s="107"/>
      <c r="P62" s="107"/>
      <c r="Q62" s="145" t="str">
        <f t="shared" ref="Q62" si="250">IF(ISBLANK(A62)," ",ROUND(($B$2-A62)/30.44,0))</f>
        <v xml:space="preserve"> </v>
      </c>
      <c r="R62" s="102" t="e">
        <f t="shared" ref="R62" si="251">EDATE(A62,-1)</f>
        <v>#NUM!</v>
      </c>
      <c r="S62" s="108" t="e">
        <f>VLOOKUP(R62,IPCA!$D:$E,2,FALSE)</f>
        <v>#NUM!</v>
      </c>
      <c r="T62" s="108">
        <f>VLOOKUP($B$2,IPCA!$C:$E,3,FALSE)</f>
        <v>7331.98</v>
      </c>
      <c r="U62" s="109"/>
    </row>
    <row r="63" spans="1:21" x14ac:dyDescent="0.3">
      <c r="A63" s="96"/>
      <c r="B63" s="97"/>
      <c r="C63" s="98"/>
      <c r="D63" s="98"/>
      <c r="E63" s="98"/>
      <c r="F63" s="99"/>
      <c r="G63" s="99"/>
      <c r="H63" s="99"/>
      <c r="I63" s="99"/>
      <c r="J63" s="99"/>
      <c r="K63" s="98"/>
      <c r="L63" s="98"/>
      <c r="M63" s="98"/>
      <c r="N63" s="98"/>
      <c r="O63" s="98"/>
      <c r="P63" s="98"/>
      <c r="Q63" s="144"/>
      <c r="R63" s="96"/>
      <c r="S63" s="100"/>
      <c r="T63" s="100"/>
      <c r="U63" s="101"/>
    </row>
    <row r="64" spans="1:21" x14ac:dyDescent="0.3">
      <c r="A64" s="102"/>
      <c r="B64" s="103"/>
      <c r="C64" s="104"/>
      <c r="D64" s="104" t="str">
        <f t="shared" ref="D64" si="252">_xlfn.IFS(AND(Q64&gt;6,Q64&lt;=36),E64*T64/S64,Q64&lt;=6,E64,Q64=" "," ",Q64&gt;36,"ERRO")</f>
        <v xml:space="preserve"> </v>
      </c>
      <c r="E64" s="104" t="e">
        <f t="shared" ref="E64" si="253">IF(COUNT(K64:P64)&lt;2,I64,G64)</f>
        <v>#DIV/0!</v>
      </c>
      <c r="F64" s="105" t="e">
        <f t="shared" ref="F64" si="254">IF(COUNT(K64:P64)&lt;3*AND(E64=I64),$I$4,IF(E64=G64,$G$4,IF(E64=H64,$H$4,IF(E64=J64,$J$4,"Outro"))))</f>
        <v>#DIV/0!</v>
      </c>
      <c r="G64" s="106" t="e">
        <f t="shared" ref="G64" si="255">AVERAGEIFS(K64:P64,K64:P64,"&lt;="&amp;(AVERAGE(K64:P64)+_xlfn.STDEV.S(K64:P64)),K64:P64,"&gt;="&amp;(AVERAGE(K64:P64)-_xlfn.STDEV.S(K64:P64)))</f>
        <v>#DIV/0!</v>
      </c>
      <c r="H64" s="106" t="e">
        <f t="shared" ref="H64" si="256">SMALL(K64:P64,1)</f>
        <v>#NUM!</v>
      </c>
      <c r="I64" s="106" t="e">
        <f t="shared" ref="I64" si="257">AVERAGE(K64:P64)</f>
        <v>#DIV/0!</v>
      </c>
      <c r="J64" s="106" t="e">
        <f t="shared" ref="J64" si="258">MEDIAN(K64:P64)</f>
        <v>#NUM!</v>
      </c>
      <c r="K64" s="104"/>
      <c r="L64" s="104"/>
      <c r="M64" s="104"/>
      <c r="N64" s="107"/>
      <c r="O64" s="107"/>
      <c r="P64" s="107"/>
      <c r="Q64" s="145" t="str">
        <f t="shared" ref="Q64" si="259">IF(ISBLANK(A64)," ",ROUND(($B$2-A64)/30.44,0))</f>
        <v xml:space="preserve"> </v>
      </c>
      <c r="R64" s="102" t="e">
        <f t="shared" ref="R64" si="260">EDATE(A64,-1)</f>
        <v>#NUM!</v>
      </c>
      <c r="S64" s="108" t="e">
        <f>VLOOKUP(R64,IPCA!$D:$E,2,FALSE)</f>
        <v>#NUM!</v>
      </c>
      <c r="T64" s="108">
        <f>VLOOKUP($B$2,IPCA!$C:$E,3,FALSE)</f>
        <v>7331.98</v>
      </c>
      <c r="U64" s="109"/>
    </row>
    <row r="65" spans="1:21" x14ac:dyDescent="0.3">
      <c r="A65" s="96"/>
      <c r="B65" s="97"/>
      <c r="C65" s="98"/>
      <c r="D65" s="98"/>
      <c r="E65" s="98"/>
      <c r="F65" s="99"/>
      <c r="G65" s="99"/>
      <c r="H65" s="99"/>
      <c r="I65" s="99"/>
      <c r="J65" s="99"/>
      <c r="K65" s="98"/>
      <c r="L65" s="98"/>
      <c r="M65" s="98"/>
      <c r="N65" s="98"/>
      <c r="O65" s="98"/>
      <c r="P65" s="98"/>
      <c r="Q65" s="144"/>
      <c r="R65" s="96"/>
      <c r="S65" s="100"/>
      <c r="T65" s="100"/>
      <c r="U65" s="101"/>
    </row>
    <row r="66" spans="1:21" x14ac:dyDescent="0.3">
      <c r="A66" s="102"/>
      <c r="B66" s="103"/>
      <c r="C66" s="104"/>
      <c r="D66" s="104" t="str">
        <f t="shared" ref="D66" si="261">_xlfn.IFS(AND(Q66&gt;6,Q66&lt;=36),E66*T66/S66,Q66&lt;=6,E66,Q66=" "," ",Q66&gt;36,"ERRO")</f>
        <v xml:space="preserve"> </v>
      </c>
      <c r="E66" s="104" t="e">
        <f t="shared" ref="E66" si="262">IF(COUNT(K66:P66)&lt;2,I66,G66)</f>
        <v>#DIV/0!</v>
      </c>
      <c r="F66" s="105" t="e">
        <f t="shared" ref="F66" si="263">IF(COUNT(K66:P66)&lt;3*AND(E66=I66),$I$4,IF(E66=G66,$G$4,IF(E66=H66,$H$4,IF(E66=J66,$J$4,"Outro"))))</f>
        <v>#DIV/0!</v>
      </c>
      <c r="G66" s="106" t="e">
        <f t="shared" ref="G66" si="264">AVERAGEIFS(K66:P66,K66:P66,"&lt;="&amp;(AVERAGE(K66:P66)+_xlfn.STDEV.S(K66:P66)),K66:P66,"&gt;="&amp;(AVERAGE(K66:P66)-_xlfn.STDEV.S(K66:P66)))</f>
        <v>#DIV/0!</v>
      </c>
      <c r="H66" s="106" t="e">
        <f t="shared" ref="H66" si="265">SMALL(K66:P66,1)</f>
        <v>#NUM!</v>
      </c>
      <c r="I66" s="106" t="e">
        <f t="shared" ref="I66" si="266">AVERAGE(K66:P66)</f>
        <v>#DIV/0!</v>
      </c>
      <c r="J66" s="106" t="e">
        <f t="shared" ref="J66" si="267">MEDIAN(K66:P66)</f>
        <v>#NUM!</v>
      </c>
      <c r="K66" s="104"/>
      <c r="L66" s="104"/>
      <c r="M66" s="104"/>
      <c r="N66" s="107"/>
      <c r="O66" s="107"/>
      <c r="P66" s="107"/>
      <c r="Q66" s="145" t="str">
        <f t="shared" ref="Q66" si="268">IF(ISBLANK(A66)," ",ROUND(($B$2-A66)/30.44,0))</f>
        <v xml:space="preserve"> </v>
      </c>
      <c r="R66" s="102" t="e">
        <f t="shared" ref="R66" si="269">EDATE(A66,-1)</f>
        <v>#NUM!</v>
      </c>
      <c r="S66" s="108" t="e">
        <f>VLOOKUP(R66,IPCA!$D:$E,2,FALSE)</f>
        <v>#NUM!</v>
      </c>
      <c r="T66" s="108">
        <f>VLOOKUP($B$2,IPCA!$C:$E,3,FALSE)</f>
        <v>7331.98</v>
      </c>
      <c r="U66" s="109"/>
    </row>
    <row r="67" spans="1:21" x14ac:dyDescent="0.3">
      <c r="A67" s="96"/>
      <c r="B67" s="97"/>
      <c r="C67" s="98"/>
      <c r="D67" s="98"/>
      <c r="E67" s="98"/>
      <c r="F67" s="99"/>
      <c r="G67" s="99"/>
      <c r="H67" s="99"/>
      <c r="I67" s="99"/>
      <c r="J67" s="99"/>
      <c r="K67" s="98"/>
      <c r="L67" s="98"/>
      <c r="M67" s="98"/>
      <c r="N67" s="98"/>
      <c r="O67" s="98"/>
      <c r="P67" s="98"/>
      <c r="Q67" s="144"/>
      <c r="R67" s="96"/>
      <c r="S67" s="100"/>
      <c r="T67" s="100"/>
      <c r="U67" s="101"/>
    </row>
    <row r="68" spans="1:21" x14ac:dyDescent="0.3">
      <c r="A68" s="102"/>
      <c r="B68" s="103"/>
      <c r="C68" s="104"/>
      <c r="D68" s="104" t="str">
        <f t="shared" ref="D68" si="270">_xlfn.IFS(AND(Q68&gt;6,Q68&lt;=36),E68*T68/S68,Q68&lt;=6,E68,Q68=" "," ",Q68&gt;36,"ERRO")</f>
        <v xml:space="preserve"> </v>
      </c>
      <c r="E68" s="104" t="e">
        <f t="shared" ref="E68" si="271">IF(COUNT(K68:P68)&lt;2,I68,G68)</f>
        <v>#DIV/0!</v>
      </c>
      <c r="F68" s="105" t="e">
        <f t="shared" ref="F68" si="272">IF(COUNT(K68:P68)&lt;3*AND(E68=I68),$I$4,IF(E68=G68,$G$4,IF(E68=H68,$H$4,IF(E68=J68,$J$4,"Outro"))))</f>
        <v>#DIV/0!</v>
      </c>
      <c r="G68" s="106" t="e">
        <f t="shared" ref="G68" si="273">AVERAGEIFS(K68:P68,K68:P68,"&lt;="&amp;(AVERAGE(K68:P68)+_xlfn.STDEV.S(K68:P68)),K68:P68,"&gt;="&amp;(AVERAGE(K68:P68)-_xlfn.STDEV.S(K68:P68)))</f>
        <v>#DIV/0!</v>
      </c>
      <c r="H68" s="106" t="e">
        <f t="shared" ref="H68" si="274">SMALL(K68:P68,1)</f>
        <v>#NUM!</v>
      </c>
      <c r="I68" s="106" t="e">
        <f t="shared" ref="I68" si="275">AVERAGE(K68:P68)</f>
        <v>#DIV/0!</v>
      </c>
      <c r="J68" s="106" t="e">
        <f t="shared" ref="J68" si="276">MEDIAN(K68:P68)</f>
        <v>#NUM!</v>
      </c>
      <c r="K68" s="104"/>
      <c r="L68" s="104"/>
      <c r="M68" s="104"/>
      <c r="N68" s="107"/>
      <c r="O68" s="107"/>
      <c r="P68" s="107"/>
      <c r="Q68" s="145" t="str">
        <f t="shared" ref="Q68" si="277">IF(ISBLANK(A68)," ",ROUND(($B$2-A68)/30.44,0))</f>
        <v xml:space="preserve"> </v>
      </c>
      <c r="R68" s="102" t="e">
        <f t="shared" ref="R68" si="278">EDATE(A68,-1)</f>
        <v>#NUM!</v>
      </c>
      <c r="S68" s="108" t="e">
        <f>VLOOKUP(R68,IPCA!$D:$E,2,FALSE)</f>
        <v>#NUM!</v>
      </c>
      <c r="T68" s="108">
        <f>VLOOKUP($B$2,IPCA!$C:$E,3,FALSE)</f>
        <v>7331.98</v>
      </c>
      <c r="U68" s="109"/>
    </row>
    <row r="69" spans="1:21" x14ac:dyDescent="0.3">
      <c r="A69" s="96"/>
      <c r="B69" s="97"/>
      <c r="C69" s="98"/>
      <c r="D69" s="98"/>
      <c r="E69" s="98"/>
      <c r="F69" s="99"/>
      <c r="G69" s="99"/>
      <c r="H69" s="99"/>
      <c r="I69" s="99"/>
      <c r="J69" s="99"/>
      <c r="K69" s="98"/>
      <c r="L69" s="98"/>
      <c r="M69" s="98"/>
      <c r="N69" s="98"/>
      <c r="O69" s="98"/>
      <c r="P69" s="98"/>
      <c r="Q69" s="144"/>
      <c r="R69" s="96"/>
      <c r="S69" s="100"/>
      <c r="T69" s="100"/>
      <c r="U69" s="101"/>
    </row>
    <row r="70" spans="1:21" x14ac:dyDescent="0.3">
      <c r="A70" s="102"/>
      <c r="B70" s="103"/>
      <c r="C70" s="104"/>
      <c r="D70" s="104" t="str">
        <f t="shared" ref="D70" si="279">_xlfn.IFS(AND(Q70&gt;6,Q70&lt;=36),E70*T70/S70,Q70&lt;=6,E70,Q70=" "," ",Q70&gt;36,"ERRO")</f>
        <v xml:space="preserve"> </v>
      </c>
      <c r="E70" s="104" t="e">
        <f t="shared" ref="E70" si="280">IF(COUNT(K70:P70)&lt;2,I70,G70)</f>
        <v>#DIV/0!</v>
      </c>
      <c r="F70" s="105" t="e">
        <f t="shared" ref="F70" si="281">IF(COUNT(K70:P70)&lt;3*AND(E70=I70),$I$4,IF(E70=G70,$G$4,IF(E70=H70,$H$4,IF(E70=J70,$J$4,"Outro"))))</f>
        <v>#DIV/0!</v>
      </c>
      <c r="G70" s="106" t="e">
        <f t="shared" ref="G70" si="282">AVERAGEIFS(K70:P70,K70:P70,"&lt;="&amp;(AVERAGE(K70:P70)+_xlfn.STDEV.S(K70:P70)),K70:P70,"&gt;="&amp;(AVERAGE(K70:P70)-_xlfn.STDEV.S(K70:P70)))</f>
        <v>#DIV/0!</v>
      </c>
      <c r="H70" s="106" t="e">
        <f t="shared" ref="H70" si="283">SMALL(K70:P70,1)</f>
        <v>#NUM!</v>
      </c>
      <c r="I70" s="106" t="e">
        <f t="shared" ref="I70" si="284">AVERAGE(K70:P70)</f>
        <v>#DIV/0!</v>
      </c>
      <c r="J70" s="106" t="e">
        <f t="shared" ref="J70" si="285">MEDIAN(K70:P70)</f>
        <v>#NUM!</v>
      </c>
      <c r="K70" s="104"/>
      <c r="L70" s="104"/>
      <c r="M70" s="104"/>
      <c r="N70" s="107"/>
      <c r="O70" s="107"/>
      <c r="P70" s="107"/>
      <c r="Q70" s="145" t="str">
        <f t="shared" ref="Q70" si="286">IF(ISBLANK(A70)," ",ROUND(($B$2-A70)/30.44,0))</f>
        <v xml:space="preserve"> </v>
      </c>
      <c r="R70" s="102" t="e">
        <f t="shared" ref="R70" si="287">EDATE(A70,-1)</f>
        <v>#NUM!</v>
      </c>
      <c r="S70" s="108" t="e">
        <f>VLOOKUP(R70,IPCA!$D:$E,2,FALSE)</f>
        <v>#NUM!</v>
      </c>
      <c r="T70" s="108">
        <f>VLOOKUP($B$2,IPCA!$C:$E,3,FALSE)</f>
        <v>7331.98</v>
      </c>
      <c r="U70" s="109"/>
    </row>
    <row r="71" spans="1:21" x14ac:dyDescent="0.3">
      <c r="A71" s="96"/>
      <c r="B71" s="97"/>
      <c r="C71" s="98"/>
      <c r="D71" s="98"/>
      <c r="E71" s="98"/>
      <c r="F71" s="99"/>
      <c r="G71" s="99"/>
      <c r="H71" s="99"/>
      <c r="I71" s="99"/>
      <c r="J71" s="99"/>
      <c r="K71" s="98"/>
      <c r="L71" s="98"/>
      <c r="M71" s="98"/>
      <c r="N71" s="98"/>
      <c r="O71" s="98"/>
      <c r="P71" s="98"/>
      <c r="Q71" s="144"/>
      <c r="R71" s="96"/>
      <c r="S71" s="100"/>
      <c r="T71" s="100"/>
      <c r="U71" s="101"/>
    </row>
    <row r="72" spans="1:21" x14ac:dyDescent="0.3">
      <c r="A72" s="102"/>
      <c r="B72" s="103"/>
      <c r="C72" s="104"/>
      <c r="D72" s="104" t="str">
        <f t="shared" ref="D72" si="288">_xlfn.IFS(AND(Q72&gt;6,Q72&lt;=36),E72*T72/S72,Q72&lt;=6,E72,Q72=" "," ",Q72&gt;36,"ERRO")</f>
        <v xml:space="preserve"> </v>
      </c>
      <c r="E72" s="104" t="e">
        <f t="shared" ref="E72" si="289">IF(COUNT(K72:P72)&lt;2,I72,G72)</f>
        <v>#DIV/0!</v>
      </c>
      <c r="F72" s="105" t="e">
        <f t="shared" ref="F72" si="290">IF(COUNT(K72:P72)&lt;3*AND(E72=I72),$I$4,IF(E72=G72,$G$4,IF(E72=H72,$H$4,IF(E72=J72,$J$4,"Outro"))))</f>
        <v>#DIV/0!</v>
      </c>
      <c r="G72" s="106" t="e">
        <f t="shared" ref="G72" si="291">AVERAGEIFS(K72:P72,K72:P72,"&lt;="&amp;(AVERAGE(K72:P72)+_xlfn.STDEV.S(K72:P72)),K72:P72,"&gt;="&amp;(AVERAGE(K72:P72)-_xlfn.STDEV.S(K72:P72)))</f>
        <v>#DIV/0!</v>
      </c>
      <c r="H72" s="106" t="e">
        <f t="shared" ref="H72" si="292">SMALL(K72:P72,1)</f>
        <v>#NUM!</v>
      </c>
      <c r="I72" s="106" t="e">
        <f t="shared" ref="I72" si="293">AVERAGE(K72:P72)</f>
        <v>#DIV/0!</v>
      </c>
      <c r="J72" s="106" t="e">
        <f t="shared" ref="J72" si="294">MEDIAN(K72:P72)</f>
        <v>#NUM!</v>
      </c>
      <c r="K72" s="104"/>
      <c r="L72" s="104"/>
      <c r="M72" s="104"/>
      <c r="N72" s="107"/>
      <c r="O72" s="107"/>
      <c r="P72" s="107"/>
      <c r="Q72" s="145" t="str">
        <f t="shared" ref="Q72" si="295">IF(ISBLANK(A72)," ",ROUND(($B$2-A72)/30.44,0))</f>
        <v xml:space="preserve"> </v>
      </c>
      <c r="R72" s="102" t="e">
        <f t="shared" ref="R72" si="296">EDATE(A72,-1)</f>
        <v>#NUM!</v>
      </c>
      <c r="S72" s="108" t="e">
        <f>VLOOKUP(R72,IPCA!$D:$E,2,FALSE)</f>
        <v>#NUM!</v>
      </c>
      <c r="T72" s="108">
        <f>VLOOKUP($B$2,IPCA!$C:$E,3,FALSE)</f>
        <v>7331.98</v>
      </c>
      <c r="U72" s="109"/>
    </row>
    <row r="73" spans="1:21" x14ac:dyDescent="0.3">
      <c r="A73" s="96"/>
      <c r="B73" s="97"/>
      <c r="C73" s="98"/>
      <c r="D73" s="98"/>
      <c r="E73" s="98"/>
      <c r="F73" s="99"/>
      <c r="G73" s="99"/>
      <c r="H73" s="99"/>
      <c r="I73" s="99"/>
      <c r="J73" s="99"/>
      <c r="K73" s="98"/>
      <c r="L73" s="98"/>
      <c r="M73" s="98"/>
      <c r="N73" s="98"/>
      <c r="O73" s="98"/>
      <c r="P73" s="98"/>
      <c r="Q73" s="144"/>
      <c r="R73" s="96"/>
      <c r="S73" s="100"/>
      <c r="T73" s="100"/>
      <c r="U73" s="101"/>
    </row>
    <row r="74" spans="1:21" x14ac:dyDescent="0.3">
      <c r="A74" s="102"/>
      <c r="B74" s="103"/>
      <c r="C74" s="104"/>
      <c r="D74" s="104" t="str">
        <f t="shared" ref="D74" si="297">_xlfn.IFS(AND(Q74&gt;6,Q74&lt;=36),E74*T74/S74,Q74&lt;=6,E74,Q74=" "," ",Q74&gt;36,"ERRO")</f>
        <v xml:space="preserve"> </v>
      </c>
      <c r="E74" s="104" t="e">
        <f t="shared" ref="E74" si="298">IF(COUNT(K74:P74)&lt;2,I74,G74)</f>
        <v>#DIV/0!</v>
      </c>
      <c r="F74" s="105" t="e">
        <f t="shared" ref="F74" si="299">IF(COUNT(K74:P74)&lt;3*AND(E74=I74),$I$4,IF(E74=G74,$G$4,IF(E74=H74,$H$4,IF(E74=J74,$J$4,"Outro"))))</f>
        <v>#DIV/0!</v>
      </c>
      <c r="G74" s="106" t="e">
        <f t="shared" ref="G74" si="300">AVERAGEIFS(K74:P74,K74:P74,"&lt;="&amp;(AVERAGE(K74:P74)+_xlfn.STDEV.S(K74:P74)),K74:P74,"&gt;="&amp;(AVERAGE(K74:P74)-_xlfn.STDEV.S(K74:P74)))</f>
        <v>#DIV/0!</v>
      </c>
      <c r="H74" s="106" t="e">
        <f t="shared" ref="H74" si="301">SMALL(K74:P74,1)</f>
        <v>#NUM!</v>
      </c>
      <c r="I74" s="106" t="e">
        <f t="shared" ref="I74" si="302">AVERAGE(K74:P74)</f>
        <v>#DIV/0!</v>
      </c>
      <c r="J74" s="106" t="e">
        <f t="shared" ref="J74" si="303">MEDIAN(K74:P74)</f>
        <v>#NUM!</v>
      </c>
      <c r="K74" s="104"/>
      <c r="L74" s="104"/>
      <c r="M74" s="104"/>
      <c r="N74" s="107"/>
      <c r="O74" s="107"/>
      <c r="P74" s="107"/>
      <c r="Q74" s="145" t="str">
        <f t="shared" ref="Q74" si="304">IF(ISBLANK(A74)," ",ROUND(($B$2-A74)/30.44,0))</f>
        <v xml:space="preserve"> </v>
      </c>
      <c r="R74" s="102" t="e">
        <f t="shared" ref="R74" si="305">EDATE(A74,-1)</f>
        <v>#NUM!</v>
      </c>
      <c r="S74" s="108" t="e">
        <f>VLOOKUP(R74,IPCA!$D:$E,2,FALSE)</f>
        <v>#NUM!</v>
      </c>
      <c r="T74" s="108">
        <f>VLOOKUP($B$2,IPCA!$C:$E,3,FALSE)</f>
        <v>7331.98</v>
      </c>
      <c r="U74" s="109"/>
    </row>
    <row r="75" spans="1:21" x14ac:dyDescent="0.3">
      <c r="A75" s="96"/>
      <c r="B75" s="97"/>
      <c r="C75" s="98"/>
      <c r="D75" s="98"/>
      <c r="E75" s="98"/>
      <c r="F75" s="99"/>
      <c r="G75" s="99"/>
      <c r="H75" s="99"/>
      <c r="I75" s="99"/>
      <c r="J75" s="99"/>
      <c r="K75" s="98"/>
      <c r="L75" s="98"/>
      <c r="M75" s="98"/>
      <c r="N75" s="98"/>
      <c r="O75" s="98"/>
      <c r="P75" s="98"/>
      <c r="Q75" s="144"/>
      <c r="R75" s="96"/>
      <c r="S75" s="100"/>
      <c r="T75" s="100"/>
      <c r="U75" s="101"/>
    </row>
    <row r="76" spans="1:21" x14ac:dyDescent="0.3">
      <c r="A76" s="102"/>
      <c r="B76" s="103"/>
      <c r="C76" s="104"/>
      <c r="D76" s="104" t="str">
        <f t="shared" ref="D76" si="306">_xlfn.IFS(AND(Q76&gt;6,Q76&lt;=36),E76*T76/S76,Q76&lt;=6,E76,Q76=" "," ",Q76&gt;36,"ERRO")</f>
        <v xml:space="preserve"> </v>
      </c>
      <c r="E76" s="104" t="e">
        <f t="shared" ref="E76" si="307">IF(COUNT(K76:P76)&lt;2,I76,G76)</f>
        <v>#DIV/0!</v>
      </c>
      <c r="F76" s="105" t="e">
        <f t="shared" ref="F76" si="308">IF(COUNT(K76:P76)&lt;3*AND(E76=I76),$I$4,IF(E76=G76,$G$4,IF(E76=H76,$H$4,IF(E76=J76,$J$4,"Outro"))))</f>
        <v>#DIV/0!</v>
      </c>
      <c r="G76" s="106" t="e">
        <f t="shared" ref="G76" si="309">AVERAGEIFS(K76:P76,K76:P76,"&lt;="&amp;(AVERAGE(K76:P76)+_xlfn.STDEV.S(K76:P76)),K76:P76,"&gt;="&amp;(AVERAGE(K76:P76)-_xlfn.STDEV.S(K76:P76)))</f>
        <v>#DIV/0!</v>
      </c>
      <c r="H76" s="106" t="e">
        <f t="shared" ref="H76" si="310">SMALL(K76:P76,1)</f>
        <v>#NUM!</v>
      </c>
      <c r="I76" s="106" t="e">
        <f t="shared" ref="I76" si="311">AVERAGE(K76:P76)</f>
        <v>#DIV/0!</v>
      </c>
      <c r="J76" s="106" t="e">
        <f t="shared" ref="J76" si="312">MEDIAN(K76:P76)</f>
        <v>#NUM!</v>
      </c>
      <c r="K76" s="104"/>
      <c r="L76" s="104"/>
      <c r="M76" s="104"/>
      <c r="N76" s="107"/>
      <c r="O76" s="107"/>
      <c r="P76" s="107"/>
      <c r="Q76" s="145" t="str">
        <f t="shared" ref="Q76" si="313">IF(ISBLANK(A76)," ",ROUND(($B$2-A76)/30.44,0))</f>
        <v xml:space="preserve"> </v>
      </c>
      <c r="R76" s="102" t="e">
        <f t="shared" ref="R76" si="314">EDATE(A76,-1)</f>
        <v>#NUM!</v>
      </c>
      <c r="S76" s="108" t="e">
        <f>VLOOKUP(R76,IPCA!$D:$E,2,FALSE)</f>
        <v>#NUM!</v>
      </c>
      <c r="T76" s="108">
        <f>VLOOKUP($B$2,IPCA!$C:$E,3,FALSE)</f>
        <v>7331.98</v>
      </c>
      <c r="U76" s="109"/>
    </row>
    <row r="77" spans="1:21" x14ac:dyDescent="0.3">
      <c r="A77" s="96"/>
      <c r="B77" s="97"/>
      <c r="C77" s="98"/>
      <c r="D77" s="98"/>
      <c r="E77" s="98"/>
      <c r="F77" s="99"/>
      <c r="G77" s="99"/>
      <c r="H77" s="99"/>
      <c r="I77" s="99"/>
      <c r="J77" s="99"/>
      <c r="K77" s="98"/>
      <c r="L77" s="98"/>
      <c r="M77" s="98"/>
      <c r="N77" s="98"/>
      <c r="O77" s="98"/>
      <c r="P77" s="98"/>
      <c r="Q77" s="144"/>
      <c r="R77" s="96"/>
      <c r="S77" s="100"/>
      <c r="T77" s="100"/>
      <c r="U77" s="101"/>
    </row>
    <row r="78" spans="1:21" x14ac:dyDescent="0.3">
      <c r="A78" s="102"/>
      <c r="B78" s="103"/>
      <c r="C78" s="104"/>
      <c r="D78" s="104" t="str">
        <f t="shared" ref="D78" si="315">_xlfn.IFS(AND(Q78&gt;6,Q78&lt;=36),E78*T78/S78,Q78&lt;=6,E78,Q78=" "," ",Q78&gt;36,"ERRO")</f>
        <v xml:space="preserve"> </v>
      </c>
      <c r="E78" s="104" t="e">
        <f t="shared" ref="E78" si="316">IF(COUNT(K78:P78)&lt;2,I78,G78)</f>
        <v>#DIV/0!</v>
      </c>
      <c r="F78" s="105" t="e">
        <f t="shared" ref="F78" si="317">IF(COUNT(K78:P78)&lt;3*AND(E78=I78),$I$4,IF(E78=G78,$G$4,IF(E78=H78,$H$4,IF(E78=J78,$J$4,"Outro"))))</f>
        <v>#DIV/0!</v>
      </c>
      <c r="G78" s="106" t="e">
        <f t="shared" ref="G78" si="318">AVERAGEIFS(K78:P78,K78:P78,"&lt;="&amp;(AVERAGE(K78:P78)+_xlfn.STDEV.S(K78:P78)),K78:P78,"&gt;="&amp;(AVERAGE(K78:P78)-_xlfn.STDEV.S(K78:P78)))</f>
        <v>#DIV/0!</v>
      </c>
      <c r="H78" s="106" t="e">
        <f t="shared" ref="H78" si="319">SMALL(K78:P78,1)</f>
        <v>#NUM!</v>
      </c>
      <c r="I78" s="106" t="e">
        <f t="shared" ref="I78" si="320">AVERAGE(K78:P78)</f>
        <v>#DIV/0!</v>
      </c>
      <c r="J78" s="106" t="e">
        <f t="shared" ref="J78" si="321">MEDIAN(K78:P78)</f>
        <v>#NUM!</v>
      </c>
      <c r="K78" s="104"/>
      <c r="L78" s="104"/>
      <c r="M78" s="104"/>
      <c r="N78" s="107"/>
      <c r="O78" s="107"/>
      <c r="P78" s="107"/>
      <c r="Q78" s="145" t="str">
        <f t="shared" ref="Q78" si="322">IF(ISBLANK(A78)," ",ROUND(($B$2-A78)/30.44,0))</f>
        <v xml:space="preserve"> </v>
      </c>
      <c r="R78" s="102" t="e">
        <f t="shared" ref="R78" si="323">EDATE(A78,-1)</f>
        <v>#NUM!</v>
      </c>
      <c r="S78" s="108" t="e">
        <f>VLOOKUP(R78,IPCA!$D:$E,2,FALSE)</f>
        <v>#NUM!</v>
      </c>
      <c r="T78" s="108">
        <f>VLOOKUP($B$2,IPCA!$C:$E,3,FALSE)</f>
        <v>7331.98</v>
      </c>
      <c r="U78" s="109"/>
    </row>
    <row r="79" spans="1:21" x14ac:dyDescent="0.3">
      <c r="A79" s="96"/>
      <c r="B79" s="97"/>
      <c r="C79" s="98"/>
      <c r="D79" s="98"/>
      <c r="E79" s="98"/>
      <c r="F79" s="99"/>
      <c r="G79" s="99"/>
      <c r="H79" s="99"/>
      <c r="I79" s="99"/>
      <c r="J79" s="99"/>
      <c r="K79" s="98"/>
      <c r="L79" s="98"/>
      <c r="M79" s="98"/>
      <c r="N79" s="98"/>
      <c r="O79" s="98"/>
      <c r="P79" s="98"/>
      <c r="Q79" s="144"/>
      <c r="R79" s="96"/>
      <c r="S79" s="100"/>
      <c r="T79" s="100"/>
      <c r="U79" s="101"/>
    </row>
    <row r="80" spans="1:21" x14ac:dyDescent="0.3">
      <c r="A80" s="102"/>
      <c r="B80" s="103"/>
      <c r="C80" s="104"/>
      <c r="D80" s="104" t="str">
        <f t="shared" ref="D80" si="324">_xlfn.IFS(AND(Q80&gt;6,Q80&lt;=36),E80*T80/S80,Q80&lt;=6,E80,Q80=" "," ",Q80&gt;36,"ERRO")</f>
        <v xml:space="preserve"> </v>
      </c>
      <c r="E80" s="104" t="e">
        <f t="shared" ref="E80" si="325">IF(COUNT(K80:P80)&lt;2,I80,G80)</f>
        <v>#DIV/0!</v>
      </c>
      <c r="F80" s="105" t="e">
        <f t="shared" ref="F80" si="326">IF(COUNT(K80:P80)&lt;3*AND(E80=I80),$I$4,IF(E80=G80,$G$4,IF(E80=H80,$H$4,IF(E80=J80,$J$4,"Outro"))))</f>
        <v>#DIV/0!</v>
      </c>
      <c r="G80" s="106" t="e">
        <f t="shared" ref="G80" si="327">AVERAGEIFS(K80:P80,K80:P80,"&lt;="&amp;(AVERAGE(K80:P80)+_xlfn.STDEV.S(K80:P80)),K80:P80,"&gt;="&amp;(AVERAGE(K80:P80)-_xlfn.STDEV.S(K80:P80)))</f>
        <v>#DIV/0!</v>
      </c>
      <c r="H80" s="106" t="e">
        <f t="shared" ref="H80" si="328">SMALL(K80:P80,1)</f>
        <v>#NUM!</v>
      </c>
      <c r="I80" s="106" t="e">
        <f t="shared" ref="I80" si="329">AVERAGE(K80:P80)</f>
        <v>#DIV/0!</v>
      </c>
      <c r="J80" s="106" t="e">
        <f t="shared" ref="J80" si="330">MEDIAN(K80:P80)</f>
        <v>#NUM!</v>
      </c>
      <c r="K80" s="104"/>
      <c r="L80" s="104"/>
      <c r="M80" s="104"/>
      <c r="N80" s="107"/>
      <c r="O80" s="107"/>
      <c r="P80" s="107"/>
      <c r="Q80" s="145" t="str">
        <f t="shared" ref="Q80" si="331">IF(ISBLANK(A80)," ",ROUND(($B$2-A80)/30.44,0))</f>
        <v xml:space="preserve"> </v>
      </c>
      <c r="R80" s="102" t="e">
        <f t="shared" ref="R80" si="332">EDATE(A80,-1)</f>
        <v>#NUM!</v>
      </c>
      <c r="S80" s="108" t="e">
        <f>VLOOKUP(R80,IPCA!$D:$E,2,FALSE)</f>
        <v>#NUM!</v>
      </c>
      <c r="T80" s="108">
        <f>VLOOKUP($B$2,IPCA!$C:$E,3,FALSE)</f>
        <v>7331.98</v>
      </c>
      <c r="U80" s="109"/>
    </row>
    <row r="81" spans="1:21" x14ac:dyDescent="0.3">
      <c r="A81" s="96"/>
      <c r="B81" s="97"/>
      <c r="C81" s="98"/>
      <c r="D81" s="98"/>
      <c r="E81" s="98"/>
      <c r="F81" s="99"/>
      <c r="G81" s="99"/>
      <c r="H81" s="99"/>
      <c r="I81" s="99"/>
      <c r="J81" s="99"/>
      <c r="K81" s="98"/>
      <c r="L81" s="98"/>
      <c r="M81" s="98"/>
      <c r="N81" s="98"/>
      <c r="O81" s="98"/>
      <c r="P81" s="98"/>
      <c r="Q81" s="144"/>
      <c r="R81" s="96"/>
      <c r="S81" s="100"/>
      <c r="T81" s="100"/>
      <c r="U81" s="101"/>
    </row>
    <row r="82" spans="1:21" x14ac:dyDescent="0.3">
      <c r="A82" s="102"/>
      <c r="B82" s="103"/>
      <c r="C82" s="104"/>
      <c r="D82" s="104" t="str">
        <f t="shared" ref="D82" si="333">_xlfn.IFS(AND(Q82&gt;6,Q82&lt;=36),E82*T82/S82,Q82&lt;=6,E82,Q82=" "," ",Q82&gt;36,"ERRO")</f>
        <v xml:space="preserve"> </v>
      </c>
      <c r="E82" s="104" t="e">
        <f t="shared" ref="E82" si="334">IF(COUNT(K82:P82)&lt;2,I82,G82)</f>
        <v>#DIV/0!</v>
      </c>
      <c r="F82" s="105" t="e">
        <f t="shared" ref="F82" si="335">IF(COUNT(K82:P82)&lt;3*AND(E82=I82),$I$4,IF(E82=G82,$G$4,IF(E82=H82,$H$4,IF(E82=J82,$J$4,"Outro"))))</f>
        <v>#DIV/0!</v>
      </c>
      <c r="G82" s="106" t="e">
        <f t="shared" ref="G82" si="336">AVERAGEIFS(K82:P82,K82:P82,"&lt;="&amp;(AVERAGE(K82:P82)+_xlfn.STDEV.S(K82:P82)),K82:P82,"&gt;="&amp;(AVERAGE(K82:P82)-_xlfn.STDEV.S(K82:P82)))</f>
        <v>#DIV/0!</v>
      </c>
      <c r="H82" s="106" t="e">
        <f t="shared" ref="H82" si="337">SMALL(K82:P82,1)</f>
        <v>#NUM!</v>
      </c>
      <c r="I82" s="106" t="e">
        <f t="shared" ref="I82" si="338">AVERAGE(K82:P82)</f>
        <v>#DIV/0!</v>
      </c>
      <c r="J82" s="106" t="e">
        <f t="shared" ref="J82" si="339">MEDIAN(K82:P82)</f>
        <v>#NUM!</v>
      </c>
      <c r="K82" s="104"/>
      <c r="L82" s="104"/>
      <c r="M82" s="104"/>
      <c r="N82" s="107"/>
      <c r="O82" s="107"/>
      <c r="P82" s="107"/>
      <c r="Q82" s="145" t="str">
        <f t="shared" ref="Q82" si="340">IF(ISBLANK(A82)," ",ROUND(($B$2-A82)/30.44,0))</f>
        <v xml:space="preserve"> </v>
      </c>
      <c r="R82" s="102" t="e">
        <f t="shared" ref="R82" si="341">EDATE(A82,-1)</f>
        <v>#NUM!</v>
      </c>
      <c r="S82" s="108" t="e">
        <f>VLOOKUP(R82,IPCA!$D:$E,2,FALSE)</f>
        <v>#NUM!</v>
      </c>
      <c r="T82" s="108">
        <f>VLOOKUP($B$2,IPCA!$C:$E,3,FALSE)</f>
        <v>7331.98</v>
      </c>
      <c r="U82" s="109"/>
    </row>
    <row r="83" spans="1:21" x14ac:dyDescent="0.3">
      <c r="A83" s="96"/>
      <c r="B83" s="97"/>
      <c r="C83" s="98"/>
      <c r="D83" s="98"/>
      <c r="E83" s="98"/>
      <c r="F83" s="99"/>
      <c r="G83" s="99"/>
      <c r="H83" s="99"/>
      <c r="I83" s="99"/>
      <c r="J83" s="99"/>
      <c r="K83" s="98"/>
      <c r="L83" s="98"/>
      <c r="M83" s="98"/>
      <c r="N83" s="98"/>
      <c r="O83" s="98"/>
      <c r="P83" s="98"/>
      <c r="Q83" s="144"/>
      <c r="R83" s="96"/>
      <c r="S83" s="100"/>
      <c r="T83" s="100"/>
      <c r="U83" s="101"/>
    </row>
    <row r="84" spans="1:21" x14ac:dyDescent="0.3">
      <c r="A84" s="102"/>
      <c r="B84" s="103"/>
      <c r="C84" s="104"/>
      <c r="D84" s="104" t="str">
        <f t="shared" ref="D84" si="342">_xlfn.IFS(AND(Q84&gt;6,Q84&lt;=36),E84*T84/S84,Q84&lt;=6,E84,Q84=" "," ",Q84&gt;36,"ERRO")</f>
        <v xml:space="preserve"> </v>
      </c>
      <c r="E84" s="104" t="e">
        <f t="shared" ref="E84" si="343">IF(COUNT(K84:P84)&lt;2,I84,G84)</f>
        <v>#DIV/0!</v>
      </c>
      <c r="F84" s="105" t="e">
        <f t="shared" ref="F84" si="344">IF(COUNT(K84:P84)&lt;3*AND(E84=I84),$I$4,IF(E84=G84,$G$4,IF(E84=H84,$H$4,IF(E84=J84,$J$4,"Outro"))))</f>
        <v>#DIV/0!</v>
      </c>
      <c r="G84" s="106" t="e">
        <f t="shared" ref="G84" si="345">AVERAGEIFS(K84:P84,K84:P84,"&lt;="&amp;(AVERAGE(K84:P84)+_xlfn.STDEV.S(K84:P84)),K84:P84,"&gt;="&amp;(AVERAGE(K84:P84)-_xlfn.STDEV.S(K84:P84)))</f>
        <v>#DIV/0!</v>
      </c>
      <c r="H84" s="106" t="e">
        <f t="shared" ref="H84" si="346">SMALL(K84:P84,1)</f>
        <v>#NUM!</v>
      </c>
      <c r="I84" s="106" t="e">
        <f t="shared" ref="I84" si="347">AVERAGE(K84:P84)</f>
        <v>#DIV/0!</v>
      </c>
      <c r="J84" s="106" t="e">
        <f t="shared" ref="J84" si="348">MEDIAN(K84:P84)</f>
        <v>#NUM!</v>
      </c>
      <c r="K84" s="104"/>
      <c r="L84" s="104"/>
      <c r="M84" s="104"/>
      <c r="N84" s="107"/>
      <c r="O84" s="107"/>
      <c r="P84" s="107"/>
      <c r="Q84" s="145" t="str">
        <f t="shared" ref="Q84" si="349">IF(ISBLANK(A84)," ",ROUND(($B$2-A84)/30.44,0))</f>
        <v xml:space="preserve"> </v>
      </c>
      <c r="R84" s="102" t="e">
        <f t="shared" ref="R84" si="350">EDATE(A84,-1)</f>
        <v>#NUM!</v>
      </c>
      <c r="S84" s="108" t="e">
        <f>VLOOKUP(R84,IPCA!$D:$E,2,FALSE)</f>
        <v>#NUM!</v>
      </c>
      <c r="T84" s="108">
        <f>VLOOKUP($B$2,IPCA!$C:$E,3,FALSE)</f>
        <v>7331.98</v>
      </c>
      <c r="U84" s="109"/>
    </row>
    <row r="85" spans="1:21" x14ac:dyDescent="0.3">
      <c r="A85" s="96"/>
      <c r="B85" s="97"/>
      <c r="C85" s="98"/>
      <c r="D85" s="98"/>
      <c r="E85" s="98"/>
      <c r="F85" s="99"/>
      <c r="G85" s="99"/>
      <c r="H85" s="99"/>
      <c r="I85" s="99"/>
      <c r="J85" s="99"/>
      <c r="K85" s="98"/>
      <c r="L85" s="98"/>
      <c r="M85" s="98"/>
      <c r="N85" s="98"/>
      <c r="O85" s="98"/>
      <c r="P85" s="98"/>
      <c r="Q85" s="144"/>
      <c r="R85" s="96"/>
      <c r="S85" s="100"/>
      <c r="T85" s="100"/>
      <c r="U85" s="101"/>
    </row>
    <row r="86" spans="1:21" x14ac:dyDescent="0.3">
      <c r="A86" s="102"/>
      <c r="B86" s="103"/>
      <c r="C86" s="104"/>
      <c r="D86" s="104" t="str">
        <f t="shared" ref="D86" si="351">_xlfn.IFS(AND(Q86&gt;6,Q86&lt;=36),E86*T86/S86,Q86&lt;=6,E86,Q86=" "," ",Q86&gt;36,"ERRO")</f>
        <v xml:space="preserve"> </v>
      </c>
      <c r="E86" s="104" t="e">
        <f t="shared" ref="E86" si="352">IF(COUNT(K86:P86)&lt;2,I86,G86)</f>
        <v>#DIV/0!</v>
      </c>
      <c r="F86" s="105" t="e">
        <f t="shared" ref="F86" si="353">IF(COUNT(K86:P86)&lt;3*AND(E86=I86),$I$4,IF(E86=G86,$G$4,IF(E86=H86,$H$4,IF(E86=J86,$J$4,"Outro"))))</f>
        <v>#DIV/0!</v>
      </c>
      <c r="G86" s="106" t="e">
        <f t="shared" ref="G86" si="354">AVERAGEIFS(K86:P86,K86:P86,"&lt;="&amp;(AVERAGE(K86:P86)+_xlfn.STDEV.S(K86:P86)),K86:P86,"&gt;="&amp;(AVERAGE(K86:P86)-_xlfn.STDEV.S(K86:P86)))</f>
        <v>#DIV/0!</v>
      </c>
      <c r="H86" s="106" t="e">
        <f t="shared" ref="H86" si="355">SMALL(K86:P86,1)</f>
        <v>#NUM!</v>
      </c>
      <c r="I86" s="106" t="e">
        <f t="shared" ref="I86" si="356">AVERAGE(K86:P86)</f>
        <v>#DIV/0!</v>
      </c>
      <c r="J86" s="106" t="e">
        <f t="shared" ref="J86" si="357">MEDIAN(K86:P86)</f>
        <v>#NUM!</v>
      </c>
      <c r="K86" s="104"/>
      <c r="L86" s="104"/>
      <c r="M86" s="104"/>
      <c r="N86" s="107"/>
      <c r="O86" s="107"/>
      <c r="P86" s="107"/>
      <c r="Q86" s="145" t="str">
        <f t="shared" ref="Q86" si="358">IF(ISBLANK(A86)," ",ROUND(($B$2-A86)/30.44,0))</f>
        <v xml:space="preserve"> </v>
      </c>
      <c r="R86" s="102" t="e">
        <f t="shared" ref="R86" si="359">EDATE(A86,-1)</f>
        <v>#NUM!</v>
      </c>
      <c r="S86" s="108" t="e">
        <f>VLOOKUP(R86,IPCA!$D:$E,2,FALSE)</f>
        <v>#NUM!</v>
      </c>
      <c r="T86" s="108">
        <f>VLOOKUP($B$2,IPCA!$C:$E,3,FALSE)</f>
        <v>7331.98</v>
      </c>
      <c r="U86" s="109"/>
    </row>
    <row r="87" spans="1:21" x14ac:dyDescent="0.3">
      <c r="A87" s="96"/>
      <c r="B87" s="97"/>
      <c r="C87" s="98"/>
      <c r="D87" s="98"/>
      <c r="E87" s="98"/>
      <c r="F87" s="99"/>
      <c r="G87" s="99"/>
      <c r="H87" s="99"/>
      <c r="I87" s="99"/>
      <c r="J87" s="99"/>
      <c r="K87" s="98"/>
      <c r="L87" s="98"/>
      <c r="M87" s="98"/>
      <c r="N87" s="98"/>
      <c r="O87" s="98"/>
      <c r="P87" s="98"/>
      <c r="Q87" s="144"/>
      <c r="R87" s="96"/>
      <c r="S87" s="100"/>
      <c r="T87" s="100"/>
      <c r="U87" s="101"/>
    </row>
    <row r="88" spans="1:21" x14ac:dyDescent="0.3">
      <c r="A88" s="102"/>
      <c r="B88" s="103"/>
      <c r="C88" s="104"/>
      <c r="D88" s="104" t="str">
        <f t="shared" ref="D88" si="360">_xlfn.IFS(AND(Q88&gt;6,Q88&lt;=36),E88*T88/S88,Q88&lt;=6,E88,Q88=" "," ",Q88&gt;36,"ERRO")</f>
        <v xml:space="preserve"> </v>
      </c>
      <c r="E88" s="104" t="e">
        <f t="shared" ref="E88" si="361">IF(COUNT(K88:P88)&lt;2,I88,G88)</f>
        <v>#DIV/0!</v>
      </c>
      <c r="F88" s="105" t="e">
        <f t="shared" ref="F88" si="362">IF(COUNT(K88:P88)&lt;3*AND(E88=I88),$I$4,IF(E88=G88,$G$4,IF(E88=H88,$H$4,IF(E88=J88,$J$4,"Outro"))))</f>
        <v>#DIV/0!</v>
      </c>
      <c r="G88" s="106" t="e">
        <f t="shared" ref="G88" si="363">AVERAGEIFS(K88:P88,K88:P88,"&lt;="&amp;(AVERAGE(K88:P88)+_xlfn.STDEV.S(K88:P88)),K88:P88,"&gt;="&amp;(AVERAGE(K88:P88)-_xlfn.STDEV.S(K88:P88)))</f>
        <v>#DIV/0!</v>
      </c>
      <c r="H88" s="106" t="e">
        <f t="shared" ref="H88" si="364">SMALL(K88:P88,1)</f>
        <v>#NUM!</v>
      </c>
      <c r="I88" s="106" t="e">
        <f t="shared" ref="I88" si="365">AVERAGE(K88:P88)</f>
        <v>#DIV/0!</v>
      </c>
      <c r="J88" s="106" t="e">
        <f t="shared" ref="J88" si="366">MEDIAN(K88:P88)</f>
        <v>#NUM!</v>
      </c>
      <c r="K88" s="104"/>
      <c r="L88" s="104"/>
      <c r="M88" s="104"/>
      <c r="N88" s="107"/>
      <c r="O88" s="107"/>
      <c r="P88" s="107"/>
      <c r="Q88" s="145" t="str">
        <f t="shared" ref="Q88" si="367">IF(ISBLANK(A88)," ",ROUND(($B$2-A88)/30.44,0))</f>
        <v xml:space="preserve"> </v>
      </c>
      <c r="R88" s="102" t="e">
        <f t="shared" ref="R88" si="368">EDATE(A88,-1)</f>
        <v>#NUM!</v>
      </c>
      <c r="S88" s="108" t="e">
        <f>VLOOKUP(R88,IPCA!$D:$E,2,FALSE)</f>
        <v>#NUM!</v>
      </c>
      <c r="T88" s="108">
        <f>VLOOKUP($B$2,IPCA!$C:$E,3,FALSE)</f>
        <v>7331.98</v>
      </c>
      <c r="U88" s="109"/>
    </row>
    <row r="89" spans="1:21" x14ac:dyDescent="0.3">
      <c r="A89" s="96"/>
      <c r="B89" s="97"/>
      <c r="C89" s="98"/>
      <c r="D89" s="98"/>
      <c r="E89" s="98"/>
      <c r="F89" s="99"/>
      <c r="G89" s="99"/>
      <c r="H89" s="99"/>
      <c r="I89" s="99"/>
      <c r="J89" s="99"/>
      <c r="K89" s="98"/>
      <c r="L89" s="98"/>
      <c r="M89" s="98"/>
      <c r="N89" s="98"/>
      <c r="O89" s="98"/>
      <c r="P89" s="98"/>
      <c r="Q89" s="144"/>
      <c r="R89" s="96"/>
      <c r="S89" s="100"/>
      <c r="T89" s="100"/>
      <c r="U89" s="101"/>
    </row>
    <row r="98" spans="2:5" x14ac:dyDescent="0.3">
      <c r="E98" s="114"/>
    </row>
    <row r="100" spans="2:5" x14ac:dyDescent="0.3">
      <c r="E100" s="114"/>
    </row>
    <row r="102" spans="2:5" x14ac:dyDescent="0.3">
      <c r="B102" s="114"/>
      <c r="E102" s="114"/>
    </row>
    <row r="104" spans="2:5" x14ac:dyDescent="0.3">
      <c r="B104" s="114"/>
      <c r="E104" s="114"/>
    </row>
    <row r="106" spans="2:5" x14ac:dyDescent="0.3">
      <c r="B106" s="114"/>
      <c r="E106" s="114"/>
    </row>
    <row r="108" spans="2:5" x14ac:dyDescent="0.3">
      <c r="B108" s="114"/>
      <c r="E108" s="114"/>
    </row>
    <row r="110" spans="2:5" x14ac:dyDescent="0.3">
      <c r="B110" s="114"/>
      <c r="E110" s="114"/>
    </row>
    <row r="112" spans="2:5" x14ac:dyDescent="0.3">
      <c r="B112" s="114"/>
      <c r="E112" s="114"/>
    </row>
    <row r="114" spans="2:5" x14ac:dyDescent="0.3">
      <c r="B114" s="114"/>
      <c r="E114" s="114"/>
    </row>
    <row r="116" spans="2:5" x14ac:dyDescent="0.3">
      <c r="B116" s="114"/>
      <c r="E116" s="114"/>
    </row>
    <row r="118" spans="2:5" x14ac:dyDescent="0.3">
      <c r="E118" s="114"/>
    </row>
    <row r="120" spans="2:5" x14ac:dyDescent="0.3">
      <c r="E120" s="114"/>
    </row>
    <row r="122" spans="2:5" x14ac:dyDescent="0.3">
      <c r="E122" s="114"/>
    </row>
    <row r="124" spans="2:5" x14ac:dyDescent="0.3">
      <c r="E124" s="114"/>
    </row>
    <row r="126" spans="2:5" x14ac:dyDescent="0.3">
      <c r="E126" s="114"/>
    </row>
  </sheetData>
  <mergeCells count="1">
    <mergeCell ref="F3:P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673E-ABF6-4528-A08A-25F77F2B559C}">
  <dimension ref="A1:G28"/>
  <sheetViews>
    <sheetView workbookViewId="0"/>
  </sheetViews>
  <sheetFormatPr defaultRowHeight="14.5" x14ac:dyDescent="0.35"/>
  <cols>
    <col min="2" max="2" width="16.453125" customWidth="1"/>
    <col min="3" max="3" width="17.453125" customWidth="1"/>
    <col min="4" max="4" width="13.54296875" customWidth="1"/>
    <col min="5" max="5" width="15" bestFit="1" customWidth="1"/>
    <col min="6" max="6" width="11.81640625" bestFit="1" customWidth="1"/>
    <col min="7" max="7" width="12" bestFit="1" customWidth="1"/>
  </cols>
  <sheetData>
    <row r="1" spans="1:7" s="44" customFormat="1" ht="20.25" customHeight="1" x14ac:dyDescent="0.3">
      <c r="B1" s="72" t="s">
        <v>72</v>
      </c>
      <c r="C1" s="73" t="s">
        <v>74</v>
      </c>
      <c r="D1" s="73" t="s">
        <v>73</v>
      </c>
      <c r="E1" s="74" t="s">
        <v>75</v>
      </c>
      <c r="F1" s="74" t="s">
        <v>76</v>
      </c>
      <c r="G1" s="74" t="s">
        <v>112</v>
      </c>
    </row>
    <row r="2" spans="1:7" s="44" customFormat="1" ht="13" x14ac:dyDescent="0.3">
      <c r="B2" s="75">
        <f>Propostas!B6</f>
        <v>0</v>
      </c>
      <c r="C2" s="76">
        <f>Propostas!C6</f>
        <v>0</v>
      </c>
      <c r="D2" s="76"/>
      <c r="E2" s="77" t="str">
        <f>Propostas!D6</f>
        <v xml:space="preserve"> </v>
      </c>
      <c r="F2" s="77" t="e">
        <f t="shared" ref="F2:F13" si="0">D2*E2</f>
        <v>#VALUE!</v>
      </c>
      <c r="G2" s="130"/>
    </row>
    <row r="3" spans="1:7" s="44" customFormat="1" ht="13" x14ac:dyDescent="0.3">
      <c r="B3" s="79">
        <f>Propostas!B8</f>
        <v>0</v>
      </c>
      <c r="C3" s="76">
        <f>Propostas!C8</f>
        <v>0</v>
      </c>
      <c r="D3" s="76"/>
      <c r="E3" s="77" t="str">
        <f>Propostas!D8</f>
        <v xml:space="preserve"> </v>
      </c>
      <c r="F3" s="78" t="e">
        <f t="shared" si="0"/>
        <v>#VALUE!</v>
      </c>
      <c r="G3" s="131"/>
    </row>
    <row r="4" spans="1:7" s="44" customFormat="1" ht="13" x14ac:dyDescent="0.3">
      <c r="B4" s="79">
        <f>Propostas!B10</f>
        <v>0</v>
      </c>
      <c r="C4" s="76">
        <f>Propostas!C10</f>
        <v>0</v>
      </c>
      <c r="D4" s="76"/>
      <c r="E4" s="77" t="str">
        <f>Propostas!D10</f>
        <v xml:space="preserve"> </v>
      </c>
      <c r="F4" s="78" t="e">
        <f t="shared" si="0"/>
        <v>#VALUE!</v>
      </c>
      <c r="G4" s="131"/>
    </row>
    <row r="5" spans="1:7" s="44" customFormat="1" ht="13" x14ac:dyDescent="0.3">
      <c r="B5" s="75">
        <f>Propostas!B12</f>
        <v>0</v>
      </c>
      <c r="C5" s="76">
        <f>Propostas!C12</f>
        <v>0</v>
      </c>
      <c r="D5" s="76"/>
      <c r="E5" s="77" t="str">
        <f>Propostas!D12</f>
        <v xml:space="preserve"> </v>
      </c>
      <c r="F5" s="78" t="e">
        <f t="shared" si="0"/>
        <v>#VALUE!</v>
      </c>
      <c r="G5" s="131"/>
    </row>
    <row r="6" spans="1:7" s="44" customFormat="1" ht="13" x14ac:dyDescent="0.3">
      <c r="B6" s="79">
        <f>Propostas!B14</f>
        <v>0</v>
      </c>
      <c r="C6" s="76">
        <f>Propostas!C14</f>
        <v>0</v>
      </c>
      <c r="D6" s="76"/>
      <c r="E6" s="77" t="str">
        <f>Propostas!D14</f>
        <v xml:space="preserve"> </v>
      </c>
      <c r="F6" s="78" t="e">
        <f t="shared" si="0"/>
        <v>#VALUE!</v>
      </c>
      <c r="G6" s="131"/>
    </row>
    <row r="7" spans="1:7" s="44" customFormat="1" ht="39.25" customHeight="1" x14ac:dyDescent="0.3">
      <c r="B7" s="79">
        <f>Propostas!B16</f>
        <v>0</v>
      </c>
      <c r="C7" s="76">
        <f>Propostas!C16</f>
        <v>0</v>
      </c>
      <c r="D7" s="76"/>
      <c r="E7" s="77" t="str">
        <f>Propostas!D16</f>
        <v xml:space="preserve"> </v>
      </c>
      <c r="F7" s="78" t="e">
        <f t="shared" si="0"/>
        <v>#VALUE!</v>
      </c>
      <c r="G7" s="131"/>
    </row>
    <row r="8" spans="1:7" x14ac:dyDescent="0.35">
      <c r="B8" s="75">
        <f>Propostas!B18</f>
        <v>0</v>
      </c>
      <c r="C8" s="76">
        <f>Propostas!C18</f>
        <v>0</v>
      </c>
      <c r="D8" s="76"/>
      <c r="E8" s="77" t="str">
        <f>Propostas!D18</f>
        <v xml:space="preserve"> </v>
      </c>
      <c r="F8" s="78" t="e">
        <f t="shared" si="0"/>
        <v>#VALUE!</v>
      </c>
      <c r="G8" s="131"/>
    </row>
    <row r="9" spans="1:7" x14ac:dyDescent="0.35">
      <c r="B9" s="79">
        <f>Propostas!B20</f>
        <v>0</v>
      </c>
      <c r="C9" s="76">
        <f>Propostas!C20</f>
        <v>0</v>
      </c>
      <c r="D9" s="76"/>
      <c r="E9" s="77" t="str">
        <f>Propostas!D20</f>
        <v xml:space="preserve"> </v>
      </c>
      <c r="F9" s="78" t="e">
        <f t="shared" si="0"/>
        <v>#VALUE!</v>
      </c>
      <c r="G9" s="131"/>
    </row>
    <row r="10" spans="1:7" x14ac:dyDescent="0.35">
      <c r="B10" s="79">
        <f>Propostas!B22</f>
        <v>0</v>
      </c>
      <c r="C10" s="76">
        <f>Propostas!C22</f>
        <v>0</v>
      </c>
      <c r="D10" s="76"/>
      <c r="E10" s="77" t="str">
        <f>Propostas!D22</f>
        <v xml:space="preserve"> </v>
      </c>
      <c r="F10" s="78" t="e">
        <f t="shared" si="0"/>
        <v>#VALUE!</v>
      </c>
      <c r="G10" s="131"/>
    </row>
    <row r="11" spans="1:7" x14ac:dyDescent="0.35">
      <c r="B11" s="75">
        <f>Propostas!B24</f>
        <v>0</v>
      </c>
      <c r="C11" s="76">
        <f>Propostas!C24</f>
        <v>0</v>
      </c>
      <c r="D11" s="76"/>
      <c r="E11" s="77" t="str">
        <f>Propostas!D24</f>
        <v xml:space="preserve"> </v>
      </c>
      <c r="F11" s="78" t="e">
        <f t="shared" si="0"/>
        <v>#VALUE!</v>
      </c>
      <c r="G11" s="131"/>
    </row>
    <row r="12" spans="1:7" x14ac:dyDescent="0.35">
      <c r="B12" s="79">
        <f>Propostas!B26</f>
        <v>0</v>
      </c>
      <c r="C12" s="76">
        <f>Propostas!C26</f>
        <v>0</v>
      </c>
      <c r="D12" s="76"/>
      <c r="E12" s="77" t="str">
        <f>Propostas!D26</f>
        <v xml:space="preserve"> </v>
      </c>
      <c r="F12" s="78" t="e">
        <f t="shared" si="0"/>
        <v>#VALUE!</v>
      </c>
      <c r="G12" s="131"/>
    </row>
    <row r="13" spans="1:7" x14ac:dyDescent="0.35">
      <c r="B13" s="79">
        <f>Propostas!B28</f>
        <v>0</v>
      </c>
      <c r="C13" s="76">
        <f>Propostas!C28</f>
        <v>0</v>
      </c>
      <c r="D13" s="76"/>
      <c r="E13" s="77" t="str">
        <f>Propostas!D28</f>
        <v xml:space="preserve"> </v>
      </c>
      <c r="F13" s="78" t="e">
        <f t="shared" si="0"/>
        <v>#VALUE!</v>
      </c>
      <c r="G13" s="131"/>
    </row>
    <row r="14" spans="1:7" s="44" customFormat="1" x14ac:dyDescent="0.35">
      <c r="A14"/>
      <c r="B14" s="79">
        <f>Propostas!B30</f>
        <v>0</v>
      </c>
      <c r="C14" s="76">
        <f>Propostas!C30</f>
        <v>0</v>
      </c>
      <c r="D14" s="76"/>
      <c r="E14" s="77" t="str">
        <f>Propostas!D30</f>
        <v xml:space="preserve"> </v>
      </c>
      <c r="F14" s="78" t="e">
        <f t="shared" ref="F14:F24" si="1">D14*E14</f>
        <v>#VALUE!</v>
      </c>
      <c r="G14" s="131"/>
    </row>
    <row r="15" spans="1:7" s="44" customFormat="1" x14ac:dyDescent="0.35">
      <c r="A15"/>
      <c r="B15" s="79">
        <f>Propostas!B32</f>
        <v>0</v>
      </c>
      <c r="C15" s="76">
        <f>Propostas!C32</f>
        <v>0</v>
      </c>
      <c r="D15" s="76"/>
      <c r="E15" s="77" t="str">
        <f>Propostas!D32</f>
        <v xml:space="preserve"> </v>
      </c>
      <c r="F15" s="78" t="e">
        <f t="shared" si="1"/>
        <v>#VALUE!</v>
      </c>
      <c r="G15" s="131"/>
    </row>
    <row r="16" spans="1:7" s="44" customFormat="1" ht="39.25" customHeight="1" x14ac:dyDescent="0.35">
      <c r="A16"/>
      <c r="B16" s="79">
        <f>Propostas!B34</f>
        <v>0</v>
      </c>
      <c r="C16" s="76">
        <f>Propostas!C34</f>
        <v>0</v>
      </c>
      <c r="D16" s="76"/>
      <c r="E16" s="77" t="str">
        <f>Propostas!D34</f>
        <v xml:space="preserve"> </v>
      </c>
      <c r="F16" s="78" t="e">
        <f t="shared" si="1"/>
        <v>#VALUE!</v>
      </c>
      <c r="G16" s="131"/>
    </row>
    <row r="17" spans="1:7" x14ac:dyDescent="0.35">
      <c r="B17" s="79">
        <f>Propostas!B36</f>
        <v>0</v>
      </c>
      <c r="C17" s="76">
        <f>Propostas!C36</f>
        <v>0</v>
      </c>
      <c r="D17" s="76"/>
      <c r="E17" s="77" t="str">
        <f>Propostas!D36</f>
        <v xml:space="preserve"> </v>
      </c>
      <c r="F17" s="78" t="e">
        <f t="shared" si="1"/>
        <v>#VALUE!</v>
      </c>
      <c r="G17" s="131"/>
    </row>
    <row r="18" spans="1:7" x14ac:dyDescent="0.35">
      <c r="B18" s="79">
        <f>Propostas!B38</f>
        <v>0</v>
      </c>
      <c r="C18" s="76">
        <f>Propostas!C38</f>
        <v>0</v>
      </c>
      <c r="D18" s="76"/>
      <c r="E18" s="77" t="str">
        <f>Propostas!D38</f>
        <v xml:space="preserve"> </v>
      </c>
      <c r="F18" s="78" t="e">
        <f t="shared" si="1"/>
        <v>#VALUE!</v>
      </c>
      <c r="G18" s="131"/>
    </row>
    <row r="19" spans="1:7" x14ac:dyDescent="0.35">
      <c r="B19" s="79">
        <f>Propostas!B40</f>
        <v>0</v>
      </c>
      <c r="C19" s="76">
        <f>Propostas!C40</f>
        <v>0</v>
      </c>
      <c r="D19" s="76"/>
      <c r="E19" s="77" t="str">
        <f>Propostas!D40</f>
        <v xml:space="preserve"> </v>
      </c>
      <c r="F19" s="78" t="e">
        <f t="shared" si="1"/>
        <v>#VALUE!</v>
      </c>
      <c r="G19" s="131"/>
    </row>
    <row r="20" spans="1:7" s="44" customFormat="1" x14ac:dyDescent="0.35">
      <c r="A20"/>
      <c r="B20" s="79">
        <f>Propostas!B42</f>
        <v>0</v>
      </c>
      <c r="C20" s="76">
        <f>Propostas!C42</f>
        <v>0</v>
      </c>
      <c r="D20" s="76"/>
      <c r="E20" s="77" t="str">
        <f>Propostas!D42</f>
        <v xml:space="preserve"> </v>
      </c>
      <c r="F20" s="78" t="e">
        <f t="shared" si="1"/>
        <v>#VALUE!</v>
      </c>
      <c r="G20" s="131"/>
    </row>
    <row r="21" spans="1:7" s="44" customFormat="1" x14ac:dyDescent="0.35">
      <c r="A21"/>
      <c r="B21" s="79">
        <f>Propostas!B44</f>
        <v>0</v>
      </c>
      <c r="C21" s="76">
        <f>Propostas!C44</f>
        <v>0</v>
      </c>
      <c r="D21" s="76"/>
      <c r="E21" s="77" t="str">
        <f>Propostas!D44</f>
        <v xml:space="preserve"> </v>
      </c>
      <c r="F21" s="78" t="e">
        <f t="shared" si="1"/>
        <v>#VALUE!</v>
      </c>
      <c r="G21" s="131"/>
    </row>
    <row r="22" spans="1:7" s="44" customFormat="1" x14ac:dyDescent="0.35">
      <c r="A22"/>
      <c r="B22" s="79">
        <f>Propostas!B46</f>
        <v>0</v>
      </c>
      <c r="C22" s="76">
        <f>Propostas!C46</f>
        <v>0</v>
      </c>
      <c r="D22" s="76"/>
      <c r="E22" s="77" t="str">
        <f>Propostas!D46</f>
        <v xml:space="preserve"> </v>
      </c>
      <c r="F22" s="78" t="e">
        <f t="shared" si="1"/>
        <v>#VALUE!</v>
      </c>
      <c r="G22" s="131"/>
    </row>
    <row r="23" spans="1:7" x14ac:dyDescent="0.35">
      <c r="B23" s="79">
        <f>Propostas!B48</f>
        <v>0</v>
      </c>
      <c r="C23" s="76">
        <f>Propostas!C48</f>
        <v>0</v>
      </c>
      <c r="D23" s="76"/>
      <c r="E23" s="77" t="str">
        <f>Propostas!D48</f>
        <v xml:space="preserve"> </v>
      </c>
      <c r="F23" s="78" t="e">
        <f t="shared" si="1"/>
        <v>#VALUE!</v>
      </c>
      <c r="G23" s="131"/>
    </row>
    <row r="24" spans="1:7" x14ac:dyDescent="0.35">
      <c r="B24" s="79">
        <f>Propostas!B50</f>
        <v>0</v>
      </c>
      <c r="C24" s="76">
        <f>Propostas!C50</f>
        <v>0</v>
      </c>
      <c r="D24" s="76"/>
      <c r="E24" s="77" t="str">
        <f>Propostas!D50</f>
        <v xml:space="preserve"> </v>
      </c>
      <c r="F24" s="78" t="e">
        <f t="shared" si="1"/>
        <v>#VALUE!</v>
      </c>
      <c r="G24" s="131"/>
    </row>
    <row r="25" spans="1:7" x14ac:dyDescent="0.35">
      <c r="B25" s="79">
        <f>Propostas!B52</f>
        <v>0</v>
      </c>
      <c r="C25" s="76">
        <f>Propostas!C52</f>
        <v>0</v>
      </c>
      <c r="D25" s="76"/>
      <c r="E25" s="77" t="str">
        <f>Propostas!D52</f>
        <v xml:space="preserve"> </v>
      </c>
      <c r="F25" s="78" t="e">
        <f>D25*E25</f>
        <v>#VALUE!</v>
      </c>
      <c r="G25" s="131"/>
    </row>
    <row r="26" spans="1:7" ht="15" thickBot="1" x14ac:dyDescent="0.4">
      <c r="B26" s="80"/>
      <c r="C26" s="81"/>
      <c r="D26" s="81"/>
      <c r="E26" s="82"/>
      <c r="F26" s="82"/>
      <c r="G26" s="132"/>
    </row>
    <row r="27" spans="1:7" ht="15" thickBot="1" x14ac:dyDescent="0.4">
      <c r="B27" s="83" t="s">
        <v>77</v>
      </c>
      <c r="C27" s="84"/>
      <c r="D27" s="85"/>
      <c r="E27" s="86"/>
      <c r="F27" s="87" t="e">
        <f>SUM(F2:F26)</f>
        <v>#VALUE!</v>
      </c>
      <c r="G27" s="133">
        <f>SUM(G2:G26)</f>
        <v>0</v>
      </c>
    </row>
    <row r="28" spans="1:7" ht="57.75" customHeight="1" thickBot="1" x14ac:dyDescent="0.4">
      <c r="B28" s="161" t="s">
        <v>113</v>
      </c>
      <c r="C28" s="162"/>
      <c r="D28" s="163"/>
    </row>
  </sheetData>
  <mergeCells count="1">
    <mergeCell ref="B28:D2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4376-C840-414C-AAED-64397F9BE0A4}">
  <sheetPr codeName="Planilha6"/>
  <dimension ref="A1:G506"/>
  <sheetViews>
    <sheetView workbookViewId="0">
      <selection activeCell="J10" sqref="J10"/>
    </sheetView>
  </sheetViews>
  <sheetFormatPr defaultRowHeight="14.5" x14ac:dyDescent="0.35"/>
  <cols>
    <col min="1" max="1" width="4.81640625" style="135" customWidth="1"/>
    <col min="2" max="2" width="9.1796875" style="151"/>
    <col min="3" max="3" width="13.81640625" style="151" bestFit="1" customWidth="1"/>
    <col min="4" max="4" width="11.1796875" style="151" customWidth="1"/>
    <col min="5" max="5" width="10.54296875" style="151" bestFit="1" customWidth="1"/>
    <col min="6" max="6" width="19.54296875" style="152" customWidth="1"/>
    <col min="7" max="7" width="9.1796875" style="149"/>
  </cols>
  <sheetData>
    <row r="1" spans="2:7" x14ac:dyDescent="0.35">
      <c r="B1" s="138" t="s">
        <v>69</v>
      </c>
      <c r="C1" s="138" t="s">
        <v>118</v>
      </c>
      <c r="D1" s="138" t="s">
        <v>40</v>
      </c>
      <c r="E1" s="138" t="s">
        <v>70</v>
      </c>
      <c r="F1" s="146" t="s">
        <v>71</v>
      </c>
      <c r="G1" s="147" t="s">
        <v>120</v>
      </c>
    </row>
    <row r="2" spans="2:7" x14ac:dyDescent="0.35">
      <c r="B2" s="139" t="s">
        <v>119</v>
      </c>
      <c r="C2" s="139" t="str">
        <f t="shared" ref="C2:C9" si="0">TEXT(D2,"mmm/aa")</f>
        <v>jul/25</v>
      </c>
      <c r="D2" s="70">
        <v>45839</v>
      </c>
      <c r="E2" s="139">
        <v>7331.98</v>
      </c>
      <c r="F2" s="146"/>
      <c r="G2" s="148"/>
    </row>
    <row r="3" spans="2:7" x14ac:dyDescent="0.35">
      <c r="B3" s="139" t="s">
        <v>119</v>
      </c>
      <c r="C3" s="139" t="str">
        <f t="shared" si="0"/>
        <v>jun/25</v>
      </c>
      <c r="D3" s="70">
        <v>45809</v>
      </c>
      <c r="E3" s="139">
        <v>7312.97</v>
      </c>
      <c r="F3" s="146"/>
      <c r="G3" s="148"/>
    </row>
    <row r="4" spans="2:7" x14ac:dyDescent="0.35">
      <c r="B4" s="139" t="s">
        <v>119</v>
      </c>
      <c r="C4" s="139" t="str">
        <f t="shared" si="0"/>
        <v>mai/25</v>
      </c>
      <c r="D4" s="70">
        <v>45778</v>
      </c>
      <c r="E4" s="139">
        <v>7295.46</v>
      </c>
      <c r="F4" s="146"/>
      <c r="G4" s="148"/>
    </row>
    <row r="5" spans="2:7" x14ac:dyDescent="0.35">
      <c r="B5" s="139" t="s">
        <v>119</v>
      </c>
      <c r="C5" s="139" t="str">
        <f t="shared" si="0"/>
        <v>abr/25</v>
      </c>
      <c r="D5" s="70">
        <v>45748</v>
      </c>
      <c r="E5" s="139">
        <v>7276.54</v>
      </c>
      <c r="F5" s="146"/>
      <c r="G5" s="148"/>
    </row>
    <row r="6" spans="2:7" x14ac:dyDescent="0.35">
      <c r="B6" s="139" t="s">
        <v>119</v>
      </c>
      <c r="C6" s="139" t="str">
        <f t="shared" si="0"/>
        <v>mar/25</v>
      </c>
      <c r="D6" s="70">
        <v>45717</v>
      </c>
      <c r="E6" s="139">
        <v>7245.38</v>
      </c>
      <c r="F6" s="146"/>
    </row>
    <row r="7" spans="2:7" x14ac:dyDescent="0.35">
      <c r="B7" s="139" t="s">
        <v>119</v>
      </c>
      <c r="C7" s="139" t="str">
        <f t="shared" si="0"/>
        <v>fev/25</v>
      </c>
      <c r="D7" s="70">
        <v>45689</v>
      </c>
      <c r="E7" s="139">
        <v>7205.03</v>
      </c>
      <c r="F7" s="146"/>
      <c r="G7" s="149" t="str">
        <f>TRIM(A7)</f>
        <v/>
      </c>
    </row>
    <row r="8" spans="2:7" x14ac:dyDescent="0.35">
      <c r="B8" s="139" t="s">
        <v>119</v>
      </c>
      <c r="C8" s="139" t="str">
        <f t="shared" si="0"/>
        <v>jan/25</v>
      </c>
      <c r="D8" s="70">
        <v>45658</v>
      </c>
      <c r="E8" s="139">
        <v>7111.86</v>
      </c>
      <c r="F8" s="146"/>
    </row>
    <row r="9" spans="2:7" x14ac:dyDescent="0.35">
      <c r="B9" s="139" t="s">
        <v>119</v>
      </c>
      <c r="C9" s="139" t="str">
        <f t="shared" si="0"/>
        <v>dez/24</v>
      </c>
      <c r="D9" s="70">
        <v>45627</v>
      </c>
      <c r="E9" s="139">
        <v>7100.5</v>
      </c>
      <c r="F9" s="146"/>
    </row>
    <row r="10" spans="2:7" x14ac:dyDescent="0.35">
      <c r="B10" s="139" t="s">
        <v>119</v>
      </c>
      <c r="C10" s="139" t="str">
        <f>TEXT(D10,"mmm/aa")</f>
        <v>nov/24</v>
      </c>
      <c r="D10" s="70">
        <v>45597</v>
      </c>
      <c r="E10" s="139">
        <v>7063.77</v>
      </c>
      <c r="F10" s="146"/>
    </row>
    <row r="11" spans="2:7" x14ac:dyDescent="0.35">
      <c r="B11" s="139" t="s">
        <v>119</v>
      </c>
      <c r="C11" s="139" t="str">
        <f t="shared" ref="C11:C47" si="1">TEXT(D11,"mmm/aa")</f>
        <v>out/24</v>
      </c>
      <c r="D11" s="70">
        <v>45566</v>
      </c>
      <c r="E11" s="139">
        <v>7036.33</v>
      </c>
      <c r="F11" s="146"/>
    </row>
    <row r="12" spans="2:7" x14ac:dyDescent="0.35">
      <c r="B12" s="139" t="s">
        <v>119</v>
      </c>
      <c r="C12" s="139" t="str">
        <f t="shared" si="1"/>
        <v>set/24</v>
      </c>
      <c r="D12" s="70">
        <v>45536</v>
      </c>
      <c r="E12" s="139">
        <v>6997.15</v>
      </c>
      <c r="F12" s="150"/>
    </row>
    <row r="13" spans="2:7" x14ac:dyDescent="0.35">
      <c r="B13" s="139" t="s">
        <v>119</v>
      </c>
      <c r="C13" s="139" t="str">
        <f t="shared" si="1"/>
        <v>ago/24</v>
      </c>
      <c r="D13" s="70">
        <v>45505</v>
      </c>
      <c r="E13" s="139">
        <v>6966.5</v>
      </c>
      <c r="F13" s="150"/>
    </row>
    <row r="14" spans="2:7" x14ac:dyDescent="0.35">
      <c r="B14" s="139" t="s">
        <v>119</v>
      </c>
      <c r="C14" s="139" t="str">
        <f t="shared" si="1"/>
        <v>jul/24</v>
      </c>
      <c r="D14" s="70">
        <v>45474</v>
      </c>
      <c r="E14" s="139">
        <v>6967.89</v>
      </c>
      <c r="F14" s="150"/>
    </row>
    <row r="15" spans="2:7" x14ac:dyDescent="0.35">
      <c r="B15" s="139" t="s">
        <v>119</v>
      </c>
      <c r="C15" s="139" t="str">
        <f t="shared" si="1"/>
        <v>jun/24</v>
      </c>
      <c r="D15" s="70">
        <v>45444</v>
      </c>
      <c r="E15" s="139">
        <v>6941.51</v>
      </c>
      <c r="F15" s="146"/>
    </row>
    <row r="16" spans="2:7" x14ac:dyDescent="0.35">
      <c r="B16" s="139" t="s">
        <v>119</v>
      </c>
      <c r="C16" s="139" t="str">
        <f t="shared" si="1"/>
        <v>mai/24</v>
      </c>
      <c r="D16" s="70">
        <v>45413</v>
      </c>
      <c r="E16" s="139">
        <v>6926.96</v>
      </c>
      <c r="F16" s="150"/>
    </row>
    <row r="17" spans="2:6" x14ac:dyDescent="0.35">
      <c r="B17" s="139" t="s">
        <v>119</v>
      </c>
      <c r="C17" s="139" t="str">
        <f t="shared" si="1"/>
        <v>abr/24</v>
      </c>
      <c r="D17" s="70">
        <v>45383</v>
      </c>
      <c r="E17" s="139">
        <v>6895.24</v>
      </c>
      <c r="F17" s="146"/>
    </row>
    <row r="18" spans="2:6" x14ac:dyDescent="0.35">
      <c r="B18" s="139" t="s">
        <v>119</v>
      </c>
      <c r="C18" s="139" t="str">
        <f t="shared" si="1"/>
        <v>mar/24</v>
      </c>
      <c r="D18" s="70">
        <v>45352</v>
      </c>
      <c r="E18" s="139">
        <v>6869.14</v>
      </c>
      <c r="F18" s="146"/>
    </row>
    <row r="19" spans="2:6" x14ac:dyDescent="0.35">
      <c r="B19" s="139" t="s">
        <v>119</v>
      </c>
      <c r="C19" s="139" t="str">
        <f t="shared" si="1"/>
        <v>fev/24</v>
      </c>
      <c r="D19" s="70">
        <v>45323</v>
      </c>
      <c r="E19" s="139">
        <v>6858.17</v>
      </c>
      <c r="F19" s="146"/>
    </row>
    <row r="20" spans="2:6" x14ac:dyDescent="0.35">
      <c r="B20" s="139" t="s">
        <v>119</v>
      </c>
      <c r="C20" s="139" t="str">
        <f t="shared" si="1"/>
        <v>jan/24</v>
      </c>
      <c r="D20" s="70">
        <v>45292</v>
      </c>
      <c r="E20" s="139">
        <v>6801.72</v>
      </c>
      <c r="F20" s="146"/>
    </row>
    <row r="21" spans="2:6" x14ac:dyDescent="0.35">
      <c r="B21" s="139" t="s">
        <v>119</v>
      </c>
      <c r="C21" s="139" t="str">
        <f t="shared" si="1"/>
        <v>dez/23</v>
      </c>
      <c r="D21" s="70">
        <v>45261</v>
      </c>
      <c r="E21" s="139">
        <v>6773.27</v>
      </c>
      <c r="F21" s="146"/>
    </row>
    <row r="22" spans="2:6" x14ac:dyDescent="0.35">
      <c r="B22" s="139" t="s">
        <v>119</v>
      </c>
      <c r="C22" s="139" t="str">
        <f t="shared" si="1"/>
        <v>nov/23</v>
      </c>
      <c r="D22" s="70">
        <v>45231</v>
      </c>
      <c r="E22" s="139">
        <v>6735.55</v>
      </c>
      <c r="F22" s="146"/>
    </row>
    <row r="23" spans="2:6" x14ac:dyDescent="0.35">
      <c r="B23" s="139" t="s">
        <v>119</v>
      </c>
      <c r="C23" s="139" t="str">
        <f t="shared" si="1"/>
        <v>out/23</v>
      </c>
      <c r="D23" s="70">
        <v>45200</v>
      </c>
      <c r="E23" s="139">
        <v>6716.74</v>
      </c>
      <c r="F23" s="146"/>
    </row>
    <row r="24" spans="2:6" x14ac:dyDescent="0.35">
      <c r="B24" s="139" t="s">
        <v>119</v>
      </c>
      <c r="C24" s="139" t="str">
        <f t="shared" si="1"/>
        <v>set/23</v>
      </c>
      <c r="D24" s="70">
        <v>45170</v>
      </c>
      <c r="E24" s="139">
        <v>6700.66</v>
      </c>
      <c r="F24" s="146"/>
    </row>
    <row r="25" spans="2:6" x14ac:dyDescent="0.35">
      <c r="B25" s="139" t="s">
        <v>119</v>
      </c>
      <c r="C25" s="139" t="str">
        <f t="shared" si="1"/>
        <v>ago/23</v>
      </c>
      <c r="D25" s="70">
        <v>45139</v>
      </c>
      <c r="E25" s="139">
        <v>6683.28</v>
      </c>
      <c r="F25" s="146"/>
    </row>
    <row r="26" spans="2:6" x14ac:dyDescent="0.35">
      <c r="B26" s="139" t="s">
        <v>119</v>
      </c>
      <c r="C26" s="139" t="str">
        <f t="shared" si="1"/>
        <v>jul/23</v>
      </c>
      <c r="D26" s="70">
        <v>45108</v>
      </c>
      <c r="E26" s="139">
        <v>6667.94</v>
      </c>
      <c r="F26" s="146"/>
    </row>
    <row r="27" spans="2:6" x14ac:dyDescent="0.35">
      <c r="B27" s="139" t="s">
        <v>119</v>
      </c>
      <c r="C27" s="139" t="str">
        <f t="shared" si="1"/>
        <v>jun/23</v>
      </c>
      <c r="D27" s="70">
        <v>45078</v>
      </c>
      <c r="E27" s="139">
        <v>6659.95</v>
      </c>
      <c r="F27" s="146"/>
    </row>
    <row r="28" spans="2:6" x14ac:dyDescent="0.35">
      <c r="B28" s="139" t="s">
        <v>119</v>
      </c>
      <c r="C28" s="139" t="str">
        <f t="shared" si="1"/>
        <v>mai/23</v>
      </c>
      <c r="D28" s="70">
        <v>45047</v>
      </c>
      <c r="E28" s="139">
        <v>6665.28</v>
      </c>
      <c r="F28" s="146"/>
    </row>
    <row r="29" spans="2:6" x14ac:dyDescent="0.35">
      <c r="B29" s="139" t="s">
        <v>119</v>
      </c>
      <c r="C29" s="139" t="str">
        <f t="shared" si="1"/>
        <v>abr/23</v>
      </c>
      <c r="D29" s="70">
        <v>45017</v>
      </c>
      <c r="E29" s="139">
        <v>6649.99</v>
      </c>
      <c r="F29" s="146"/>
    </row>
    <row r="30" spans="2:6" x14ac:dyDescent="0.35">
      <c r="B30" s="139" t="s">
        <v>119</v>
      </c>
      <c r="C30" s="139" t="str">
        <f t="shared" si="1"/>
        <v>mar/23</v>
      </c>
      <c r="D30" s="70">
        <v>44986</v>
      </c>
      <c r="E30" s="139">
        <v>6609.67</v>
      </c>
      <c r="F30" s="146"/>
    </row>
    <row r="31" spans="2:6" x14ac:dyDescent="0.35">
      <c r="B31" s="139" t="s">
        <v>119</v>
      </c>
      <c r="C31" s="139" t="str">
        <f t="shared" si="1"/>
        <v>fev/23</v>
      </c>
      <c r="D31" s="70">
        <v>44958</v>
      </c>
      <c r="E31" s="139">
        <v>6563.07</v>
      </c>
      <c r="F31" s="146"/>
    </row>
    <row r="32" spans="2:6" x14ac:dyDescent="0.35">
      <c r="B32" s="139" t="s">
        <v>119</v>
      </c>
      <c r="C32" s="139" t="str">
        <f t="shared" si="1"/>
        <v>jan/23</v>
      </c>
      <c r="D32" s="70">
        <v>44927</v>
      </c>
      <c r="E32" s="139">
        <v>6508.4</v>
      </c>
      <c r="F32" s="146"/>
    </row>
    <row r="33" spans="2:6" x14ac:dyDescent="0.35">
      <c r="B33" s="139" t="s">
        <v>119</v>
      </c>
      <c r="C33" s="139" t="str">
        <f t="shared" si="1"/>
        <v>dez/22</v>
      </c>
      <c r="D33" s="70">
        <v>44896</v>
      </c>
      <c r="E33" s="139">
        <v>6474.09</v>
      </c>
      <c r="F33" s="146"/>
    </row>
    <row r="34" spans="2:6" x14ac:dyDescent="0.35">
      <c r="B34" s="139" t="s">
        <v>119</v>
      </c>
      <c r="C34" s="139" t="str">
        <f t="shared" si="1"/>
        <v>nov/22</v>
      </c>
      <c r="D34" s="70">
        <v>44866</v>
      </c>
      <c r="E34" s="139">
        <v>6434.2</v>
      </c>
      <c r="F34" s="146"/>
    </row>
    <row r="35" spans="2:6" x14ac:dyDescent="0.35">
      <c r="B35" s="139" t="s">
        <v>119</v>
      </c>
      <c r="C35" s="139" t="str">
        <f t="shared" si="1"/>
        <v>out/22</v>
      </c>
      <c r="D35" s="70">
        <v>44835</v>
      </c>
      <c r="E35" s="139">
        <v>6407.93</v>
      </c>
      <c r="F35" s="146"/>
    </row>
    <row r="36" spans="2:6" x14ac:dyDescent="0.35">
      <c r="B36" s="139" t="s">
        <v>119</v>
      </c>
      <c r="C36" s="139" t="str">
        <f t="shared" si="1"/>
        <v>set/22</v>
      </c>
      <c r="D36" s="70">
        <v>44805</v>
      </c>
      <c r="E36" s="139">
        <v>6370.34</v>
      </c>
      <c r="F36" s="146"/>
    </row>
    <row r="37" spans="2:6" x14ac:dyDescent="0.35">
      <c r="B37" s="139" t="s">
        <v>119</v>
      </c>
      <c r="C37" s="139" t="str">
        <f t="shared" si="1"/>
        <v>ago/22</v>
      </c>
      <c r="D37" s="70">
        <v>44774</v>
      </c>
      <c r="E37" s="139">
        <v>6388.87</v>
      </c>
      <c r="F37" s="146"/>
    </row>
    <row r="38" spans="2:6" x14ac:dyDescent="0.35">
      <c r="B38" s="139" t="s">
        <v>119</v>
      </c>
      <c r="C38" s="139" t="str">
        <f t="shared" si="1"/>
        <v>jul/22</v>
      </c>
      <c r="D38" s="70">
        <v>44743</v>
      </c>
      <c r="E38" s="139">
        <v>6411.95</v>
      </c>
      <c r="F38" s="146"/>
    </row>
    <row r="39" spans="2:6" x14ac:dyDescent="0.35">
      <c r="B39" s="139" t="s">
        <v>119</v>
      </c>
      <c r="C39" s="139" t="str">
        <f t="shared" si="1"/>
        <v>jun/22</v>
      </c>
      <c r="D39" s="70">
        <v>44713</v>
      </c>
      <c r="E39" s="139">
        <v>6455.85</v>
      </c>
      <c r="F39" s="146"/>
    </row>
    <row r="40" spans="2:6" x14ac:dyDescent="0.35">
      <c r="B40" s="139" t="s">
        <v>119</v>
      </c>
      <c r="C40" s="139" t="str">
        <f t="shared" si="1"/>
        <v>mai/22</v>
      </c>
      <c r="D40" s="70">
        <v>44682</v>
      </c>
      <c r="E40" s="139">
        <v>6412.88</v>
      </c>
      <c r="F40" s="146"/>
    </row>
    <row r="41" spans="2:6" x14ac:dyDescent="0.35">
      <c r="B41" s="139" t="s">
        <v>119</v>
      </c>
      <c r="C41" s="139" t="str">
        <f t="shared" si="1"/>
        <v>abr/22</v>
      </c>
      <c r="D41" s="70">
        <v>44652</v>
      </c>
      <c r="E41" s="139">
        <v>6382.88</v>
      </c>
      <c r="F41" s="146"/>
    </row>
    <row r="42" spans="2:6" x14ac:dyDescent="0.35">
      <c r="B42" s="139" t="s">
        <v>119</v>
      </c>
      <c r="C42" s="139" t="str">
        <f t="shared" si="1"/>
        <v>mar/22</v>
      </c>
      <c r="D42" s="70">
        <v>44621</v>
      </c>
      <c r="E42" s="139">
        <v>6315.93</v>
      </c>
      <c r="F42" s="146"/>
    </row>
    <row r="43" spans="2:6" x14ac:dyDescent="0.35">
      <c r="B43" s="139" t="s">
        <v>119</v>
      </c>
      <c r="C43" s="139" t="str">
        <f t="shared" si="1"/>
        <v>fev/22</v>
      </c>
      <c r="D43" s="70">
        <v>44593</v>
      </c>
      <c r="E43" s="139">
        <v>6215.24</v>
      </c>
      <c r="F43" s="146"/>
    </row>
    <row r="44" spans="2:6" x14ac:dyDescent="0.35">
      <c r="B44" s="139" t="s">
        <v>119</v>
      </c>
      <c r="C44" s="139" t="str">
        <f t="shared" si="1"/>
        <v>jan/22</v>
      </c>
      <c r="D44" s="70">
        <v>44562</v>
      </c>
      <c r="E44" s="139">
        <v>6153.09</v>
      </c>
      <c r="F44" s="146"/>
    </row>
    <row r="45" spans="2:6" x14ac:dyDescent="0.35">
      <c r="B45" s="139" t="s">
        <v>119</v>
      </c>
      <c r="C45" s="139" t="str">
        <f t="shared" si="1"/>
        <v>dez/21</v>
      </c>
      <c r="D45" s="70">
        <v>44531</v>
      </c>
      <c r="E45" s="139">
        <v>6120.04</v>
      </c>
      <c r="F45" s="146"/>
    </row>
    <row r="46" spans="2:6" x14ac:dyDescent="0.35">
      <c r="B46" s="139" t="s">
        <v>119</v>
      </c>
      <c r="C46" s="139" t="str">
        <f t="shared" si="1"/>
        <v>nov/21</v>
      </c>
      <c r="D46" s="70">
        <v>44501</v>
      </c>
      <c r="E46" s="139">
        <v>6075.69</v>
      </c>
      <c r="F46" s="146"/>
    </row>
    <row r="47" spans="2:6" x14ac:dyDescent="0.35">
      <c r="B47" s="139" t="s">
        <v>119</v>
      </c>
      <c r="C47" s="139" t="str">
        <f t="shared" si="1"/>
        <v>out/21</v>
      </c>
      <c r="D47" s="70">
        <v>44470</v>
      </c>
      <c r="E47" s="139">
        <v>6018.51</v>
      </c>
      <c r="F47" s="146"/>
    </row>
    <row r="238" spans="4:5" x14ac:dyDescent="0.35">
      <c r="D238" s="153">
        <v>44470</v>
      </c>
      <c r="E238" s="138"/>
    </row>
    <row r="239" spans="4:5" x14ac:dyDescent="0.35">
      <c r="D239" s="70">
        <v>44440</v>
      </c>
      <c r="E239" s="138"/>
    </row>
    <row r="240" spans="4:5" x14ac:dyDescent="0.35">
      <c r="D240" s="70">
        <v>44409</v>
      </c>
      <c r="E240" s="139">
        <v>6147.08698198198</v>
      </c>
    </row>
    <row r="241" spans="4:5" x14ac:dyDescent="0.35">
      <c r="D241" s="70">
        <v>44378</v>
      </c>
      <c r="E241" s="139">
        <v>6122.2862114746304</v>
      </c>
    </row>
    <row r="242" spans="4:5" x14ac:dyDescent="0.35">
      <c r="D242" s="70">
        <v>44348</v>
      </c>
      <c r="E242" s="139">
        <v>6097.4854409672798</v>
      </c>
    </row>
    <row r="243" spans="4:5" x14ac:dyDescent="0.35">
      <c r="D243" s="70">
        <v>44317</v>
      </c>
      <c r="E243" s="139">
        <v>6072.6846704599302</v>
      </c>
    </row>
    <row r="244" spans="4:5" x14ac:dyDescent="0.35">
      <c r="D244" s="70">
        <v>44287</v>
      </c>
      <c r="E244" s="139">
        <v>6047.8838999525797</v>
      </c>
    </row>
    <row r="245" spans="4:5" x14ac:dyDescent="0.35">
      <c r="D245" s="70">
        <v>44256</v>
      </c>
      <c r="E245" s="139">
        <v>6023.08312944523</v>
      </c>
    </row>
    <row r="246" spans="4:5" x14ac:dyDescent="0.35">
      <c r="D246" s="70">
        <v>44228</v>
      </c>
      <c r="E246" s="139">
        <v>5998.2823589378804</v>
      </c>
    </row>
    <row r="247" spans="4:5" x14ac:dyDescent="0.35">
      <c r="D247" s="70">
        <v>44197</v>
      </c>
      <c r="E247" s="139">
        <v>5973.4815884305299</v>
      </c>
    </row>
    <row r="248" spans="4:5" x14ac:dyDescent="0.35">
      <c r="D248" s="70">
        <v>44166</v>
      </c>
      <c r="E248" s="139">
        <v>5948.6808179231803</v>
      </c>
    </row>
    <row r="249" spans="4:5" x14ac:dyDescent="0.35">
      <c r="D249" s="70">
        <v>44136</v>
      </c>
      <c r="E249" s="139">
        <v>5923.8800474158297</v>
      </c>
    </row>
    <row r="250" spans="4:5" x14ac:dyDescent="0.35">
      <c r="D250" s="70">
        <v>44105</v>
      </c>
      <c r="E250" s="139">
        <v>5899.0792769084901</v>
      </c>
    </row>
    <row r="251" spans="4:5" x14ac:dyDescent="0.35">
      <c r="D251" s="70">
        <v>44075</v>
      </c>
      <c r="E251" s="139">
        <v>5874.2785064011396</v>
      </c>
    </row>
    <row r="252" spans="4:5" x14ac:dyDescent="0.35">
      <c r="D252" s="70">
        <v>44044</v>
      </c>
      <c r="E252" s="139">
        <v>5849.4777358937899</v>
      </c>
    </row>
    <row r="253" spans="4:5" x14ac:dyDescent="0.35">
      <c r="D253" s="70">
        <v>44013</v>
      </c>
      <c r="E253" s="139">
        <v>5824.6769653864403</v>
      </c>
    </row>
    <row r="254" spans="4:5" x14ac:dyDescent="0.35">
      <c r="D254" s="70">
        <v>43983</v>
      </c>
      <c r="E254" s="139">
        <v>5799.8761948790898</v>
      </c>
    </row>
    <row r="255" spans="4:5" x14ac:dyDescent="0.35">
      <c r="D255" s="70">
        <v>43952</v>
      </c>
      <c r="E255" s="139">
        <v>5775.0754243717402</v>
      </c>
    </row>
    <row r="256" spans="4:5" x14ac:dyDescent="0.35">
      <c r="D256" s="70">
        <v>43922</v>
      </c>
      <c r="E256" s="139">
        <v>5750.2746538643896</v>
      </c>
    </row>
    <row r="257" spans="4:5" x14ac:dyDescent="0.35">
      <c r="D257" s="70">
        <v>43891</v>
      </c>
      <c r="E257" s="139">
        <v>5725.47388335704</v>
      </c>
    </row>
    <row r="258" spans="4:5" x14ac:dyDescent="0.35">
      <c r="D258" s="70">
        <v>43862</v>
      </c>
      <c r="E258" s="139">
        <v>5700.6731128496904</v>
      </c>
    </row>
    <row r="259" spans="4:5" x14ac:dyDescent="0.35">
      <c r="D259" s="70">
        <v>43831</v>
      </c>
      <c r="E259" s="139">
        <v>5675.8723423423398</v>
      </c>
    </row>
    <row r="260" spans="4:5" x14ac:dyDescent="0.35">
      <c r="D260" s="70">
        <v>43800</v>
      </c>
      <c r="E260" s="139">
        <v>5651.0715718349902</v>
      </c>
    </row>
    <row r="261" spans="4:5" x14ac:dyDescent="0.35">
      <c r="D261" s="70">
        <v>43770</v>
      </c>
      <c r="E261" s="139">
        <v>5626.2708013276397</v>
      </c>
    </row>
    <row r="262" spans="4:5" x14ac:dyDescent="0.35">
      <c r="D262" s="70">
        <v>43739</v>
      </c>
      <c r="E262" s="139">
        <v>5601.47003082029</v>
      </c>
    </row>
    <row r="263" spans="4:5" x14ac:dyDescent="0.35">
      <c r="D263" s="70">
        <v>43709</v>
      </c>
      <c r="E263" s="139">
        <v>5576.6692603129404</v>
      </c>
    </row>
    <row r="264" spans="4:5" x14ac:dyDescent="0.35">
      <c r="D264" s="70">
        <v>43678</v>
      </c>
      <c r="E264" s="139">
        <v>5551.8684898055899</v>
      </c>
    </row>
    <row r="265" spans="4:5" x14ac:dyDescent="0.35">
      <c r="D265" s="70">
        <v>43647</v>
      </c>
      <c r="E265" s="139">
        <v>5527.0677192982403</v>
      </c>
    </row>
    <row r="266" spans="4:5" x14ac:dyDescent="0.35">
      <c r="D266" s="70">
        <v>43617</v>
      </c>
      <c r="E266" s="139">
        <v>5502.2669487908897</v>
      </c>
    </row>
    <row r="267" spans="4:5" x14ac:dyDescent="0.35">
      <c r="D267" s="70">
        <v>43586</v>
      </c>
      <c r="E267" s="139">
        <v>5477.4661782835401</v>
      </c>
    </row>
    <row r="268" spans="4:5" x14ac:dyDescent="0.35">
      <c r="D268" s="70">
        <v>43556</v>
      </c>
      <c r="E268" s="139">
        <v>5452.6654077761996</v>
      </c>
    </row>
    <row r="269" spans="4:5" x14ac:dyDescent="0.35">
      <c r="D269" s="70">
        <v>43525</v>
      </c>
      <c r="E269" s="139">
        <v>5427.8646372688499</v>
      </c>
    </row>
    <row r="270" spans="4:5" x14ac:dyDescent="0.35">
      <c r="D270" s="70">
        <v>43497</v>
      </c>
      <c r="E270" s="139">
        <v>5403.0638667615003</v>
      </c>
    </row>
    <row r="271" spans="4:5" x14ac:dyDescent="0.35">
      <c r="D271" s="70">
        <v>43466</v>
      </c>
      <c r="E271" s="139">
        <v>5378.2630962541498</v>
      </c>
    </row>
    <row r="272" spans="4:5" x14ac:dyDescent="0.35">
      <c r="D272" s="70">
        <v>43435</v>
      </c>
      <c r="E272" s="139">
        <v>5353.4623257468002</v>
      </c>
    </row>
    <row r="273" spans="4:5" x14ac:dyDescent="0.35">
      <c r="D273" s="70">
        <v>43405</v>
      </c>
      <c r="E273" s="139">
        <v>5328.6615552394496</v>
      </c>
    </row>
    <row r="274" spans="4:5" x14ac:dyDescent="0.35">
      <c r="D274" s="70">
        <v>43374</v>
      </c>
      <c r="E274" s="139">
        <v>5303.8607847321</v>
      </c>
    </row>
    <row r="275" spans="4:5" x14ac:dyDescent="0.35">
      <c r="D275" s="70">
        <v>43344</v>
      </c>
      <c r="E275" s="139">
        <v>5279.0600142247504</v>
      </c>
    </row>
    <row r="276" spans="4:5" x14ac:dyDescent="0.35">
      <c r="D276" s="70">
        <v>43313</v>
      </c>
      <c r="E276" s="139">
        <v>5254.2592437173998</v>
      </c>
    </row>
    <row r="468" spans="4:5" x14ac:dyDescent="0.35">
      <c r="D468" s="153">
        <v>43282</v>
      </c>
      <c r="E468" s="138"/>
    </row>
    <row r="469" spans="4:5" x14ac:dyDescent="0.35">
      <c r="D469" s="70">
        <v>43252</v>
      </c>
      <c r="E469" s="138"/>
    </row>
    <row r="470" spans="4:5" x14ac:dyDescent="0.35">
      <c r="D470" s="70">
        <v>43221</v>
      </c>
      <c r="E470" s="139">
        <v>5229.4584732100502</v>
      </c>
    </row>
    <row r="471" spans="4:5" x14ac:dyDescent="0.35">
      <c r="D471" s="70">
        <v>43191</v>
      </c>
      <c r="E471" s="139">
        <v>5204.6577027026997</v>
      </c>
    </row>
    <row r="472" spans="4:5" x14ac:dyDescent="0.35">
      <c r="D472" s="70">
        <v>43160</v>
      </c>
      <c r="E472" s="139">
        <v>5179.8569321953501</v>
      </c>
    </row>
    <row r="473" spans="4:5" x14ac:dyDescent="0.35">
      <c r="D473" s="70">
        <v>43132</v>
      </c>
      <c r="E473" s="139">
        <v>5155.0561616880004</v>
      </c>
    </row>
    <row r="474" spans="4:5" x14ac:dyDescent="0.35">
      <c r="D474" s="70">
        <v>43101</v>
      </c>
      <c r="E474" s="139">
        <v>5130.2553911806499</v>
      </c>
    </row>
    <row r="475" spans="4:5" x14ac:dyDescent="0.35">
      <c r="D475" s="70">
        <v>43070</v>
      </c>
      <c r="E475" s="139">
        <v>5105.4546206733003</v>
      </c>
    </row>
    <row r="476" spans="4:5" x14ac:dyDescent="0.35">
      <c r="D476" s="70">
        <v>43040</v>
      </c>
      <c r="E476" s="139">
        <v>5080.6538501659497</v>
      </c>
    </row>
    <row r="477" spans="4:5" x14ac:dyDescent="0.35">
      <c r="D477" s="70">
        <v>43009</v>
      </c>
      <c r="E477" s="139">
        <v>5055.8530796586001</v>
      </c>
    </row>
    <row r="478" spans="4:5" x14ac:dyDescent="0.35">
      <c r="D478" s="70">
        <v>42979</v>
      </c>
      <c r="E478" s="139">
        <v>5031.0523091512496</v>
      </c>
    </row>
    <row r="479" spans="4:5" x14ac:dyDescent="0.35">
      <c r="D479" s="70">
        <v>42948</v>
      </c>
      <c r="E479" s="139">
        <v>5006.2515386438999</v>
      </c>
    </row>
    <row r="480" spans="4:5" x14ac:dyDescent="0.35">
      <c r="D480" s="70">
        <v>42917</v>
      </c>
      <c r="E480" s="139">
        <v>4981.4507681365603</v>
      </c>
    </row>
    <row r="481" spans="4:5" x14ac:dyDescent="0.35">
      <c r="D481" s="70">
        <v>42887</v>
      </c>
      <c r="E481" s="139">
        <v>4956.6499976292098</v>
      </c>
    </row>
    <row r="482" spans="4:5" x14ac:dyDescent="0.35">
      <c r="D482" s="70">
        <v>42856</v>
      </c>
      <c r="E482" s="139">
        <v>4931.8492271218602</v>
      </c>
    </row>
    <row r="483" spans="4:5" x14ac:dyDescent="0.35">
      <c r="D483" s="70">
        <v>42826</v>
      </c>
      <c r="E483" s="139">
        <v>4907.0484566145096</v>
      </c>
    </row>
    <row r="484" spans="4:5" x14ac:dyDescent="0.35">
      <c r="D484" s="70">
        <v>42795</v>
      </c>
      <c r="E484" s="139">
        <v>4882.24768610716</v>
      </c>
    </row>
    <row r="485" spans="4:5" x14ac:dyDescent="0.35">
      <c r="D485" s="70">
        <v>42767</v>
      </c>
      <c r="E485" s="139">
        <v>4857.4469155998104</v>
      </c>
    </row>
    <row r="486" spans="4:5" x14ac:dyDescent="0.35">
      <c r="D486" s="70">
        <v>42736</v>
      </c>
      <c r="E486" s="139">
        <v>4832.6461450924598</v>
      </c>
    </row>
    <row r="487" spans="4:5" x14ac:dyDescent="0.35">
      <c r="D487" s="70">
        <v>42705</v>
      </c>
      <c r="E487" s="139">
        <v>4807.8453745851102</v>
      </c>
    </row>
    <row r="488" spans="4:5" x14ac:dyDescent="0.35">
      <c r="D488" s="70">
        <v>42675</v>
      </c>
      <c r="E488" s="139">
        <v>4783.0446040777597</v>
      </c>
    </row>
    <row r="489" spans="4:5" x14ac:dyDescent="0.35">
      <c r="D489" s="70">
        <v>42644</v>
      </c>
      <c r="E489" s="139">
        <v>4758.2438335704101</v>
      </c>
    </row>
    <row r="490" spans="4:5" x14ac:dyDescent="0.35">
      <c r="D490" s="70">
        <v>42614</v>
      </c>
      <c r="E490" s="139">
        <v>4733.4430630630604</v>
      </c>
    </row>
    <row r="491" spans="4:5" x14ac:dyDescent="0.35">
      <c r="D491" s="70">
        <v>42583</v>
      </c>
      <c r="E491" s="139">
        <v>4708.6422925557099</v>
      </c>
    </row>
    <row r="492" spans="4:5" x14ac:dyDescent="0.35">
      <c r="D492" s="70">
        <v>42552</v>
      </c>
      <c r="E492" s="139">
        <v>4683.8415220483603</v>
      </c>
    </row>
    <row r="493" spans="4:5" x14ac:dyDescent="0.35">
      <c r="D493" s="70">
        <v>42522</v>
      </c>
      <c r="E493" s="139">
        <v>4659.0407515410097</v>
      </c>
    </row>
    <row r="494" spans="4:5" x14ac:dyDescent="0.35">
      <c r="D494" s="70">
        <v>42491</v>
      </c>
      <c r="E494" s="139">
        <v>4634.2399810336601</v>
      </c>
    </row>
    <row r="495" spans="4:5" x14ac:dyDescent="0.35">
      <c r="D495" s="70">
        <v>42461</v>
      </c>
      <c r="E495" s="139">
        <v>4609.4392105263096</v>
      </c>
    </row>
    <row r="496" spans="4:5" x14ac:dyDescent="0.35">
      <c r="D496" s="70">
        <v>42430</v>
      </c>
      <c r="E496" s="139">
        <v>4584.63844001896</v>
      </c>
    </row>
    <row r="497" spans="4:5" x14ac:dyDescent="0.35">
      <c r="D497" s="70">
        <v>42401</v>
      </c>
      <c r="E497" s="139">
        <v>4559.8376695116103</v>
      </c>
    </row>
    <row r="498" spans="4:5" x14ac:dyDescent="0.35">
      <c r="D498" s="70">
        <v>42370</v>
      </c>
      <c r="E498" s="139">
        <v>4535.0368990042698</v>
      </c>
    </row>
    <row r="499" spans="4:5" x14ac:dyDescent="0.35">
      <c r="D499" s="70">
        <v>42339</v>
      </c>
      <c r="E499" s="139">
        <v>4510.2361284969202</v>
      </c>
    </row>
    <row r="500" spans="4:5" x14ac:dyDescent="0.35">
      <c r="D500" s="70">
        <v>42309</v>
      </c>
      <c r="E500" s="139">
        <v>4485.4353579895696</v>
      </c>
    </row>
    <row r="501" spans="4:5" x14ac:dyDescent="0.35">
      <c r="D501" s="70">
        <v>42278</v>
      </c>
      <c r="E501" s="139">
        <v>4460.63458748222</v>
      </c>
    </row>
    <row r="502" spans="4:5" x14ac:dyDescent="0.35">
      <c r="D502" s="70">
        <v>42248</v>
      </c>
      <c r="E502" s="139">
        <v>4435.8338169748704</v>
      </c>
    </row>
    <row r="503" spans="4:5" x14ac:dyDescent="0.35">
      <c r="D503" s="70">
        <v>42217</v>
      </c>
      <c r="E503" s="139">
        <v>4411.0330464675199</v>
      </c>
    </row>
    <row r="504" spans="4:5" x14ac:dyDescent="0.35">
      <c r="D504" s="70">
        <v>42186</v>
      </c>
      <c r="E504" s="139">
        <v>4386.2322759601702</v>
      </c>
    </row>
    <row r="505" spans="4:5" x14ac:dyDescent="0.35">
      <c r="D505" s="70">
        <v>42156</v>
      </c>
      <c r="E505" s="139">
        <v>4361.4315054528197</v>
      </c>
    </row>
    <row r="506" spans="4:5" x14ac:dyDescent="0.35">
      <c r="D506" s="70">
        <v>42125</v>
      </c>
      <c r="E506" s="139">
        <v>4336.6307349454701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17EC-BE63-4C20-83B9-A2364B9B33D5}">
  <sheetPr codeName="Planilha7">
    <tabColor rgb="FFFF0000"/>
  </sheetPr>
  <dimension ref="A1:G5"/>
  <sheetViews>
    <sheetView workbookViewId="0">
      <selection activeCell="B10" sqref="B10"/>
    </sheetView>
  </sheetViews>
  <sheetFormatPr defaultRowHeight="14.5" x14ac:dyDescent="0.35"/>
  <cols>
    <col min="2" max="2" width="39.1796875" bestFit="1" customWidth="1"/>
  </cols>
  <sheetData>
    <row r="1" spans="1:7" x14ac:dyDescent="0.35">
      <c r="A1" s="117" t="s">
        <v>91</v>
      </c>
      <c r="B1" s="118" t="s">
        <v>92</v>
      </c>
      <c r="C1" s="118" t="s">
        <v>93</v>
      </c>
      <c r="D1" s="118" t="s">
        <v>94</v>
      </c>
      <c r="E1" s="118" t="s">
        <v>95</v>
      </c>
      <c r="F1" s="118" t="s">
        <v>96</v>
      </c>
      <c r="G1" s="119" t="s">
        <v>97</v>
      </c>
    </row>
    <row r="2" spans="1:7" x14ac:dyDescent="0.35">
      <c r="A2" s="120" t="s">
        <v>90</v>
      </c>
      <c r="B2" s="121" t="s">
        <v>90</v>
      </c>
      <c r="C2" s="121" t="s">
        <v>90</v>
      </c>
      <c r="D2" s="121" t="s">
        <v>90</v>
      </c>
      <c r="E2" s="121" t="s">
        <v>90</v>
      </c>
      <c r="F2" s="121" t="s">
        <v>90</v>
      </c>
      <c r="G2" s="122" t="s">
        <v>90</v>
      </c>
    </row>
    <row r="3" spans="1:7" x14ac:dyDescent="0.35">
      <c r="A3" s="123" t="s">
        <v>98</v>
      </c>
      <c r="B3" s="124" t="s">
        <v>99</v>
      </c>
      <c r="C3" s="121" t="s">
        <v>90</v>
      </c>
      <c r="D3" s="124" t="s">
        <v>100</v>
      </c>
      <c r="E3" s="124" t="s">
        <v>100</v>
      </c>
      <c r="F3" s="121" t="s">
        <v>90</v>
      </c>
      <c r="G3" s="122" t="s">
        <v>90</v>
      </c>
    </row>
    <row r="4" spans="1:7" x14ac:dyDescent="0.35">
      <c r="A4" s="123" t="s">
        <v>101</v>
      </c>
      <c r="B4" s="124" t="s">
        <v>102</v>
      </c>
      <c r="C4" s="121" t="s">
        <v>90</v>
      </c>
      <c r="D4" s="124" t="s">
        <v>103</v>
      </c>
      <c r="E4" s="124" t="s">
        <v>103</v>
      </c>
      <c r="F4" s="124" t="s">
        <v>103</v>
      </c>
      <c r="G4" s="125" t="s">
        <v>103</v>
      </c>
    </row>
    <row r="5" spans="1:7" ht="15" thickBot="1" x14ac:dyDescent="0.4">
      <c r="A5" s="126" t="s">
        <v>104</v>
      </c>
      <c r="B5" s="127" t="s">
        <v>105</v>
      </c>
      <c r="C5" s="128" t="s">
        <v>90</v>
      </c>
      <c r="D5" s="127" t="s">
        <v>103</v>
      </c>
      <c r="E5" s="127" t="s">
        <v>103</v>
      </c>
      <c r="F5" s="127" t="s">
        <v>103</v>
      </c>
      <c r="G5" s="129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Envio</vt:lpstr>
      <vt:lpstr>Processo_xxxx-yy</vt:lpstr>
      <vt:lpstr>Propostas</vt:lpstr>
      <vt:lpstr>Resumo</vt:lpstr>
      <vt:lpstr>IPCA</vt:lpstr>
      <vt:lpstr>Cronograma Fisico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de Deus</dc:creator>
  <cp:lastModifiedBy>Matheus Teixeira Nemeth</cp:lastModifiedBy>
  <dcterms:created xsi:type="dcterms:W3CDTF">2024-05-22T13:35:57Z</dcterms:created>
  <dcterms:modified xsi:type="dcterms:W3CDTF">2025-08-26T17:04:39Z</dcterms:modified>
</cp:coreProperties>
</file>